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STOMENSAL" sheetId="1" state="visible" r:id="rId3"/>
    <sheet name="DEZEMBRO" sheetId="2" state="visible" r:id="rId4"/>
    <sheet name="NOVEMBRO" sheetId="3" state="visible" r:id="rId5"/>
    <sheet name="OUTUBRO" sheetId="4" state="visible" r:id="rId6"/>
    <sheet name="SETEMBRO" sheetId="5" state="visible" r:id="rId7"/>
    <sheet name="AGOSTO" sheetId="6" state="visible" r:id="rId8"/>
    <sheet name="JULHO" sheetId="7" state="visible" r:id="rId9"/>
    <sheet name="JUNHO" sheetId="8" state="visible" r:id="rId10"/>
    <sheet name="MAIO" sheetId="9" state="visible" r:id="rId11"/>
    <sheet name="ABRIL" sheetId="10" state="visible" r:id="rId12"/>
    <sheet name="MARÇO" sheetId="11" state="visible" r:id="rId13"/>
    <sheet name="FEVEREIRO" sheetId="12" state="visible" r:id="rId14"/>
    <sheet name="JANEIRO" sheetId="13" state="visible" r:id="rId15"/>
    <sheet name="Planilha1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<sst xmlns="http://schemas.openxmlformats.org/spreadsheetml/2006/main" count="544" uniqueCount="105">
  <si>
    <t xml:space="preserve">MÊS</t>
  </si>
  <si>
    <t xml:space="preserve">SEDE-HFP</t>
  </si>
  <si>
    <t xml:space="preserve">SEDE-HP</t>
  </si>
  <si>
    <t xml:space="preserve">HTS-HFP</t>
  </si>
  <si>
    <t xml:space="preserve">HTS-HP</t>
  </si>
  <si>
    <t xml:space="preserve">HTO-HFP</t>
  </si>
  <si>
    <t xml:space="preserve">HTO-HP</t>
  </si>
  <si>
    <t xml:space="preserve">ALQQ-HFP</t>
  </si>
  <si>
    <t xml:space="preserve">ALQQ-HP</t>
  </si>
  <si>
    <t xml:space="preserve">USINA/CICRIN-HFP</t>
  </si>
  <si>
    <t xml:space="preserve">USINA/CICRIN-HP</t>
  </si>
  <si>
    <t xml:space="preserve">FADOR-HFP</t>
  </si>
  <si>
    <t xml:space="preserve">FADOR-HP</t>
  </si>
  <si>
    <t xml:space="preserve">CIAFV 01-HFP</t>
  </si>
  <si>
    <t xml:space="preserve">CIAFV 01-HP</t>
  </si>
  <si>
    <t xml:space="preserve">CIAFV 02-HFP</t>
  </si>
  <si>
    <t xml:space="preserve">CIAFV 02-HP</t>
  </si>
  <si>
    <t xml:space="preserve">CIAFV 03-HFP</t>
  </si>
  <si>
    <t xml:space="preserve">CIAFV 03-HP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</si>
  <si>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</si>
  <si>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</si>
  <si>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</si>
  <si>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</si>
  <si>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</si>
  <si>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</si>
  <si>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</si>
  <si>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</si>
  <si>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</si>
  <si>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</si>
  <si>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</si>
  <si>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</si>
  <si>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Data</t>
  </si>
  <si>
    <t xml:space="preserve">ATIVIDADES</t>
  </si>
  <si>
    <t xml:space="preserve">HTS</t>
  </si>
  <si>
    <t xml:space="preserve">HTO</t>
  </si>
  <si>
    <t xml:space="preserve">ALQQ</t>
  </si>
  <si>
    <t xml:space="preserve">USINA/CICRIN</t>
  </si>
  <si>
    <t xml:space="preserve">FADOR</t>
  </si>
  <si>
    <t xml:space="preserve">CIAFV 01</t>
  </si>
  <si>
    <t xml:space="preserve">CIAFV 02</t>
  </si>
  <si>
    <t xml:space="preserve">CIAFV 03</t>
  </si>
  <si>
    <t xml:space="preserve">Bandeira</t>
  </si>
  <si>
    <t xml:space="preserve">Valor</t>
  </si>
  <si>
    <t xml:space="preserve">Vermelha P1</t>
  </si>
  <si>
    <t xml:space="preserve">Vermelha P2</t>
  </si>
  <si>
    <t xml:space="preserve">TRNSP OP AZUL TURQUESA</t>
  </si>
  <si>
    <t xml:space="preserve">SEM ATIVIDADES</t>
  </si>
  <si>
    <t xml:space="preserve">COMITIVA MD - CIENG, FIT NPOR</t>
  </si>
  <si>
    <t xml:space="preserve">FIT NPOR</t>
  </si>
  <si>
    <t xml:space="preserve">CULTOS RELIGIOSOS, FIT NPOR</t>
  </si>
  <si>
    <t xml:space="preserve">3º TAF, VOT 7º CTA</t>
  </si>
  <si>
    <t xml:space="preserve">3º TAF</t>
  </si>
  <si>
    <t xml:space="preserve">VOT 11 RM, PASA</t>
  </si>
  <si>
    <t xml:space="preserve">CAPACITAÇÃO DFPC</t>
  </si>
  <si>
    <t xml:space="preserve">DESFILE 7 SET</t>
  </si>
  <si>
    <t xml:space="preserve">2ª CH TAT</t>
  </si>
  <si>
    <t xml:space="preserve">2ª CH TAT, PCI ESA</t>
  </si>
  <si>
    <t xml:space="preserve">CULTOS, 2ª CH TAT, PCI ESA</t>
  </si>
  <si>
    <t xml:space="preserve">PCI ESA</t>
  </si>
  <si>
    <t xml:space="preserve">PCI CIAVEX</t>
  </si>
  <si>
    <t xml:space="preserve">PCI CIAVEX, FORM GERAL</t>
  </si>
  <si>
    <t xml:space="preserve">CHEGADA MEIO OP AZUL TURQUESA</t>
  </si>
  <si>
    <t xml:space="preserve">EXPEDIENTE NO ALQQ</t>
  </si>
  <si>
    <t xml:space="preserve">APOIO LOG - OP ATLAS</t>
  </si>
  <si>
    <t xml:space="preserve">REU OBRAS, 1ª CH TIA/TAT,SELEÇÃO GERAL (INÍCIO),REU ADM</t>
  </si>
  <si>
    <t xml:space="preserve">FERIADO</t>
  </si>
  <si>
    <t xml:space="preserve">1ª CH TIA/TAT, REU EFETIVO S1</t>
  </si>
  <si>
    <t xml:space="preserve">1ª CH TIA/TAT,JANTAR DIA DOS PAIS(ALQQ)</t>
  </si>
  <si>
    <t xml:space="preserve">PCI 4º BECMB,CAMPO CFC</t>
  </si>
  <si>
    <t xml:space="preserve">PCI 4º BECMB,CAMPO CFC,DFPC</t>
  </si>
  <si>
    <t xml:space="preserve">PCI 4º BECMB,CAMPO CFC,FERIADO</t>
  </si>
  <si>
    <t xml:space="preserve">REU OFICIAIS,REU OBRAS</t>
  </si>
  <si>
    <t xml:space="preserve">REU OBRAS/DOC</t>
  </si>
  <si>
    <t xml:space="preserve">REU AGENDA</t>
  </si>
  <si>
    <t xml:space="preserve">REU OBRAS, SELEÇÃO GERAL (TÉRMINO)</t>
  </si>
  <si>
    <t xml:space="preserve">SEM EXPEDIENTE</t>
  </si>
  <si>
    <t xml:space="preserve">SD POR UM DIA (ALQQ)</t>
  </si>
  <si>
    <t xml:space="preserve">EXPEDIENTE ADM</t>
  </si>
  <si>
    <t xml:space="preserve">EVENTO ALQQ (APOIO A PREFEITURA),PCI ESLog</t>
  </si>
  <si>
    <t xml:space="preserve">REU AGENDA,PCI ESLog</t>
  </si>
  <si>
    <t xml:space="preserve">FERIADO,PCI ESLog</t>
  </si>
  <si>
    <t xml:space="preserve">FORMATURA GERAL, PCI ESLog</t>
  </si>
  <si>
    <t xml:space="preserve">PCI ESLog</t>
  </si>
  <si>
    <t xml:space="preserve"> PCI NPOR 23ª CIA</t>
  </si>
  <si>
    <t xml:space="preserve"> PCI NPOR 23ª CIA, CHEGADA DIR DOC (JANTAR HT)</t>
  </si>
  <si>
    <t xml:space="preserve"> PCI NPOR 23ª CIA, ORNAMENTAÇÃO FESTA JUNINA, RECEPÇÃO DIR DOC</t>
  </si>
  <si>
    <t xml:space="preserve">FESTA JULINA</t>
  </si>
  <si>
    <t xml:space="preserve">VOT DFPC</t>
  </si>
  <si>
    <t xml:space="preserve">VOT DFPC, CULTOS RELIGIOSOS</t>
  </si>
  <si>
    <t xml:space="preserve">GPREP FTER</t>
  </si>
  <si>
    <t xml:space="preserve">OFICINA ORIENTAÇÃO OPUS</t>
  </si>
  <si>
    <t xml:space="preserve">2º TAF</t>
  </si>
  <si>
    <t xml:space="preserve">PALESTRA GBOEX</t>
  </si>
  <si>
    <t xml:space="preserve">2º TAF, PALESTRA GBOEX</t>
  </si>
  <si>
    <t xml:space="preserve">FORM DIA VET</t>
  </si>
  <si>
    <t xml:space="preserve">CORRIDA MAUÁ</t>
  </si>
  <si>
    <t xml:space="preserve">PALESTRA 80 ANOS FEB</t>
  </si>
  <si>
    <t xml:space="preserve">VOT ASSESSORIA PARLAMENTAR</t>
  </si>
  <si>
    <t xml:space="preserve">FORMATURA GERAL</t>
  </si>
  <si>
    <t xml:space="preserve">PCI AMAN, VOT SAS</t>
  </si>
  <si>
    <t xml:space="preserve">TREINAMENTO FORMATURA, PCI AMAN, VOT SASS</t>
  </si>
  <si>
    <t xml:space="preserve">FORMATURA DE  ANIVERSÁRIO DO BATALHÃO, PCI AMAN, EVENTO ALUSIVO AO ANIVERSÁRIO DO CIENG</t>
  </si>
  <si>
    <t xml:space="preserve">CONFRATERNIZAÇÃO AMAN, PALESTRA SAS</t>
  </si>
  <si>
    <t xml:space="preserve">Verde</t>
  </si>
  <si>
    <t xml:space="preserve">Amarela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</si>
</sst>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"/>
    <numFmt numFmtId="166" formatCode="_-&quot;R$ &quot;* #,##0.00_-;&quot;-R$ &quot;* #,##0.00_-;_-&quot;R$ &quot;* \-??_-;_-@_-"/>
    <numFmt numFmtId="167" formatCode="0.00"/>
    <numFmt numFmtId="168" formatCode="0"/>
    <numFmt numFmtId="169" formatCode="_-&quot;R$ &quot;* #,##0.000_-;&quot;-R$ &quot;* #,##0.000_-;_-&quot;R$ &quot;* \-??_-;_-@_-"/>
    <numFmt numFmtId="170" formatCode="[$R$ -416]#,##0.00"/>
    <numFmt numFmtId="171" formatCode="_-* #,##0.00_-;\-* #,##0.00_-;_-* \-??_-;_-@_-"/>
    <numFmt numFmtId="172" formatCode="_-* #,##0.000_-;\-* #,##0.000_-;_-* \-???_-;_-@_-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7"/>
        <bgColor rgb="FFFFFF99"/>
      </patternFill>
    </fill>
    <fill>
      <patternFill patternType="solid">
        <fgColor rgb="FFA4C2F4"/>
        <bgColor rgb="FF8EB6F8"/>
      </patternFill>
    </fill>
    <fill>
      <patternFill patternType="solid">
        <fgColor theme="4" tint="0.3997"/>
        <bgColor rgb="FFA4C2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6F8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2" style="1" width="15.85"/>
    <col collapsed="false" customWidth="true" hidden="false" outlineLevel="0" max="3" min="3" style="1" width="13.29"/>
    <col collapsed="false" customWidth="true" hidden="false" outlineLevel="0" max="4" min="4" style="1" width="12.15"/>
    <col collapsed="false" customWidth="true" hidden="false" outlineLevel="0" max="5" min="5" style="1" width="13.29"/>
    <col collapsed="false" customWidth="true" hidden="false" outlineLevel="0" max="9" min="6" style="1" width="12.15"/>
    <col collapsed="false" customWidth="true" hidden="false" outlineLevel="0" max="10" min="10" style="1" width="17.71"/>
    <col collapsed="false" customWidth="true" hidden="false" outlineLevel="0" max="11" min="11" style="1" width="16.43"/>
    <col collapsed="false" customWidth="true" hidden="false" outlineLevel="0" max="13" min="12" style="1" width="12.15"/>
    <col collapsed="false" customWidth="true" hidden="false" outlineLevel="0" max="14" min="14" style="1" width="13.42"/>
    <col collapsed="false" customWidth="true" hidden="false" outlineLevel="0" max="15" min="15" style="1" width="12.15"/>
    <col collapsed="false" customWidth="true" hidden="false" outlineLevel="0" max="16" min="16" style="1" width="13.42"/>
    <col collapsed="false" customWidth="true" hidden="false" outlineLevel="0" max="17" min="17" style="1" width="12.15"/>
    <col collapsed="false" customWidth="true" hidden="false" outlineLevel="0" max="18" min="18" style="1" width="13.42"/>
    <col collapsed="false" customWidth="true" hidden="false" outlineLevel="0" max="19" min="19" style="1" width="12.15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12.75" hidden="false" customHeight="false" outlineLevel="0" collapsed="false">
      <c r="A2" s="4" t="s">
        <v>19</v>
      </c>
      <c r="B2" s="5" t="n">
        <v>33257.08</v>
      </c>
      <c r="C2" s="5" t="n">
        <v>11421.12</v>
      </c>
      <c r="D2" s="5" t="n">
        <v>1005.039</v>
      </c>
      <c r="E2" s="5" t="n">
        <v>430.731</v>
      </c>
      <c r="F2" s="5" t="n">
        <v>2233.763</v>
      </c>
      <c r="G2" s="5" t="n">
        <v>957.327</v>
      </c>
      <c r="H2" s="5" t="n">
        <v>3425.681</v>
      </c>
      <c r="I2" s="5" t="n">
        <v>1468.149</v>
      </c>
      <c r="J2" s="5" t="n">
        <v>905.954</v>
      </c>
      <c r="K2" s="5" t="n">
        <v>388.266</v>
      </c>
      <c r="L2" s="5" t="n">
        <v>679.469</v>
      </c>
      <c r="M2" s="5" t="n">
        <v>291.201</v>
      </c>
      <c r="N2" s="5" t="n">
        <v>7546.52</v>
      </c>
      <c r="O2" s="5" t="n">
        <v>3690.74</v>
      </c>
      <c r="P2" s="5" t="n">
        <v>0</v>
      </c>
      <c r="Q2" s="5" t="n">
        <v>0</v>
      </c>
      <c r="R2" s="5" t="n">
        <v>0</v>
      </c>
      <c r="S2" s="5" t="n">
        <v>0</v>
      </c>
    </row>
    <row r="3" customFormat="false" ht="12.75" hidden="false" customHeight="false" outlineLevel="0" collapsed="false">
      <c r="A3" s="4" t="s">
        <v>20</v>
      </c>
      <c r="B3" s="5" t="n">
        <v>34662.64</v>
      </c>
      <c r="C3" s="5" t="n">
        <v>12923.27</v>
      </c>
      <c r="D3" s="5" t="n">
        <v>1301.972</v>
      </c>
      <c r="E3" s="5" t="n">
        <v>557.988</v>
      </c>
      <c r="F3" s="5" t="n">
        <v>2088.422</v>
      </c>
      <c r="G3" s="5" t="n">
        <v>895.038</v>
      </c>
      <c r="H3" s="5" t="n">
        <v>2921.079</v>
      </c>
      <c r="I3" s="5" t="n">
        <v>1251.891</v>
      </c>
      <c r="J3" s="5" t="n">
        <v>1145.515</v>
      </c>
      <c r="K3" s="5" t="n">
        <v>490.935</v>
      </c>
      <c r="L3" s="5" t="n">
        <v>687.302</v>
      </c>
      <c r="M3" s="5" t="n">
        <v>294.558</v>
      </c>
      <c r="N3" s="5" t="n">
        <v>7279.59</v>
      </c>
      <c r="O3" s="5" t="n">
        <v>3440.58</v>
      </c>
      <c r="P3" s="5" t="n">
        <v>0</v>
      </c>
      <c r="Q3" s="5" t="n">
        <v>0</v>
      </c>
      <c r="R3" s="5" t="n">
        <v>0</v>
      </c>
      <c r="S3" s="5" t="n">
        <v>0</v>
      </c>
    </row>
    <row r="4" customFormat="false" ht="12.75" hidden="false" customHeight="false" outlineLevel="0" collapsed="false">
      <c r="A4" s="4" t="s">
        <v>21</v>
      </c>
      <c r="B4" s="5" t="n">
        <v>38732.56</v>
      </c>
      <c r="C4" s="5" t="n">
        <v>15148.14</v>
      </c>
      <c r="D4" s="5" t="n">
        <v>1557.675</v>
      </c>
      <c r="E4" s="5" t="n">
        <v>667.575</v>
      </c>
      <c r="F4" s="5" t="n">
        <v>2790.004</v>
      </c>
      <c r="G4" s="5" t="n">
        <v>1195.716</v>
      </c>
      <c r="H4" s="5" t="n">
        <v>3189.403</v>
      </c>
      <c r="I4" s="5" t="n">
        <v>1366.887</v>
      </c>
      <c r="J4" s="5" t="n">
        <v>1139.068</v>
      </c>
      <c r="K4" s="5" t="n">
        <v>488.172</v>
      </c>
      <c r="L4" s="5" t="n">
        <v>854.287</v>
      </c>
      <c r="M4" s="5" t="n">
        <v>366.123</v>
      </c>
      <c r="N4" s="5" t="n">
        <v>8302.77</v>
      </c>
      <c r="O4" s="5" t="n">
        <v>4094.98</v>
      </c>
      <c r="P4" s="5" t="n">
        <v>0</v>
      </c>
      <c r="Q4" s="5" t="n">
        <v>0</v>
      </c>
      <c r="R4" s="5" t="n">
        <v>0</v>
      </c>
      <c r="S4" s="5" t="n">
        <v>0</v>
      </c>
    </row>
    <row r="5" customFormat="false" ht="12.75" hidden="false" customHeight="false" outlineLevel="0" collapsed="false">
      <c r="A5" s="4" t="s">
        <v>22</v>
      </c>
      <c r="B5" s="5" t="n">
        <v>32733.99</v>
      </c>
      <c r="C5" s="5" t="n">
        <v>13320.42</v>
      </c>
      <c r="D5" s="5" t="n">
        <v>1614.851</v>
      </c>
      <c r="E5" s="5" t="n">
        <v>692.079</v>
      </c>
      <c r="F5" s="5" t="n">
        <v>2178.323</v>
      </c>
      <c r="G5" s="5" t="n">
        <v>933.567</v>
      </c>
      <c r="H5" s="5" t="n">
        <v>3332.798</v>
      </c>
      <c r="I5" s="5" t="n">
        <v>1428.342</v>
      </c>
      <c r="J5" s="5" t="n">
        <v>57.883</v>
      </c>
      <c r="K5" s="5" t="n">
        <v>24.807</v>
      </c>
      <c r="L5" s="5" t="n">
        <v>847.308</v>
      </c>
      <c r="M5" s="5" t="n">
        <v>363.132</v>
      </c>
      <c r="N5" s="5" t="n">
        <v>7360.23</v>
      </c>
      <c r="O5" s="5" t="n">
        <v>3442.02</v>
      </c>
      <c r="P5" s="5" t="n">
        <v>0</v>
      </c>
      <c r="Q5" s="5" t="n">
        <v>0</v>
      </c>
      <c r="R5" s="5" t="n">
        <v>0</v>
      </c>
      <c r="S5" s="5" t="n">
        <v>0</v>
      </c>
    </row>
    <row r="6" customFormat="false" ht="12.75" hidden="false" customHeight="false" outlineLevel="0" collapsed="false">
      <c r="A6" s="4" t="s">
        <v>23</v>
      </c>
      <c r="B6" s="5" t="n">
        <v>29658.6</v>
      </c>
      <c r="C6" s="5" t="n">
        <v>11856.09</v>
      </c>
      <c r="D6" s="5" t="n">
        <v>1413.552</v>
      </c>
      <c r="E6" s="5" t="n">
        <v>605.808</v>
      </c>
      <c r="F6" s="5" t="n">
        <v>1600.977</v>
      </c>
      <c r="G6" s="5" t="n">
        <v>686.133</v>
      </c>
      <c r="H6" s="5" t="n">
        <v>3361.092</v>
      </c>
      <c r="I6" s="5" t="n">
        <v>1440.468</v>
      </c>
      <c r="J6" s="5" t="n">
        <v>1038.478</v>
      </c>
      <c r="K6" s="5" t="n">
        <v>445.062</v>
      </c>
      <c r="L6" s="5" t="n">
        <v>1036.861</v>
      </c>
      <c r="M6" s="5" t="n">
        <v>444.369</v>
      </c>
      <c r="N6" s="5" t="n">
        <v>6618.68</v>
      </c>
      <c r="O6" s="5" t="n">
        <v>3472.13</v>
      </c>
      <c r="P6" s="5" t="n">
        <v>0</v>
      </c>
      <c r="Q6" s="5" t="n">
        <v>0</v>
      </c>
      <c r="R6" s="5" t="n">
        <v>0</v>
      </c>
      <c r="S6" s="5" t="n">
        <v>0</v>
      </c>
    </row>
    <row r="7" customFormat="false" ht="12.75" hidden="false" customHeight="false" outlineLevel="0" collapsed="false">
      <c r="A7" s="4" t="s">
        <v>24</v>
      </c>
      <c r="B7" s="5" t="n">
        <v>29014.23</v>
      </c>
      <c r="C7" s="5" t="n">
        <v>11147.95</v>
      </c>
      <c r="D7" s="5" t="n">
        <v>1093.8501</v>
      </c>
      <c r="E7" s="5" t="n">
        <v>491.4399</v>
      </c>
      <c r="F7" s="5" t="n">
        <v>964.2957</v>
      </c>
      <c r="G7" s="5" t="n">
        <v>433.2343</v>
      </c>
      <c r="H7" s="5" t="n">
        <v>3648.3405</v>
      </c>
      <c r="I7" s="5" t="n">
        <v>1639.1095</v>
      </c>
      <c r="J7" s="5" t="n">
        <v>1095.6717</v>
      </c>
      <c r="K7" s="5" t="n">
        <v>492.2583</v>
      </c>
      <c r="L7" s="5" t="n">
        <v>906.2391</v>
      </c>
      <c r="M7" s="5" t="n">
        <v>407.1509</v>
      </c>
      <c r="N7" s="5" t="n">
        <v>6962.7</v>
      </c>
      <c r="O7" s="5" t="n">
        <v>3143.83</v>
      </c>
      <c r="P7" s="5" t="n">
        <v>0</v>
      </c>
      <c r="Q7" s="5" t="n">
        <v>0</v>
      </c>
      <c r="R7" s="5" t="n">
        <v>0</v>
      </c>
      <c r="S7" s="5" t="n">
        <v>0</v>
      </c>
    </row>
    <row r="8" customFormat="false" ht="12.75" hidden="false" customHeight="false" outlineLevel="0" collapsed="false">
      <c r="A8" s="4" t="s">
        <v>25</v>
      </c>
      <c r="B8" s="5" t="n">
        <v>30377.2</v>
      </c>
      <c r="C8" s="5" t="n">
        <v>12141.35</v>
      </c>
      <c r="D8" s="5" t="n">
        <v>1056.74</v>
      </c>
      <c r="E8" s="5" t="n">
        <v>474.77</v>
      </c>
      <c r="F8" s="5" t="n">
        <v>1111.7</v>
      </c>
      <c r="G8" s="5" t="n">
        <v>499.45</v>
      </c>
      <c r="H8" s="5" t="n">
        <v>3638.02</v>
      </c>
      <c r="I8" s="5" t="n">
        <v>1634.475</v>
      </c>
      <c r="J8" s="5" t="n">
        <v>60.92</v>
      </c>
      <c r="K8" s="5" t="n">
        <v>27.36</v>
      </c>
      <c r="L8" s="5" t="n">
        <v>934.1772</v>
      </c>
      <c r="M8" s="5" t="n">
        <v>419.7</v>
      </c>
      <c r="N8" s="5" t="n">
        <v>6888.16</v>
      </c>
      <c r="O8" s="5" t="n">
        <v>3678.28</v>
      </c>
      <c r="P8" s="5" t="n">
        <v>0</v>
      </c>
      <c r="Q8" s="5" t="n">
        <v>0</v>
      </c>
      <c r="R8" s="5" t="n">
        <v>0</v>
      </c>
      <c r="S8" s="5" t="n">
        <v>0</v>
      </c>
    </row>
    <row r="9" customFormat="false" ht="12.75" hidden="false" customHeight="false" outlineLevel="0" collapsed="false">
      <c r="A9" s="4" t="s">
        <v>26</v>
      </c>
      <c r="B9" s="5" t="n">
        <v>34465.15</v>
      </c>
      <c r="C9" s="5" t="n">
        <v>12666.75</v>
      </c>
      <c r="D9" s="5" t="n">
        <v>1057.021</v>
      </c>
      <c r="E9" s="5" t="n">
        <v>453.009</v>
      </c>
      <c r="F9" s="5" t="n">
        <v>1199.492</v>
      </c>
      <c r="G9" s="5" t="n">
        <v>514.068</v>
      </c>
      <c r="H9" s="5" t="n">
        <v>4666.942</v>
      </c>
      <c r="I9" s="5" t="n">
        <v>2000.118</v>
      </c>
      <c r="J9" s="5" t="n">
        <v>1162.273</v>
      </c>
      <c r="K9" s="5" t="n">
        <v>498.117</v>
      </c>
      <c r="L9" s="5" t="n">
        <v>1192.8</v>
      </c>
      <c r="M9" s="5" t="n">
        <v>511.2</v>
      </c>
      <c r="N9" s="5" t="n">
        <v>8025.69</v>
      </c>
      <c r="O9" s="5" t="n">
        <v>3709.53</v>
      </c>
      <c r="P9" s="5" t="n">
        <v>0</v>
      </c>
      <c r="Q9" s="5" t="n">
        <v>0</v>
      </c>
      <c r="R9" s="5" t="n">
        <v>0</v>
      </c>
      <c r="S9" s="5" t="n">
        <v>0</v>
      </c>
    </row>
    <row r="10" customFormat="false" ht="12.75" hidden="false" customHeight="false" outlineLevel="0" collapsed="false">
      <c r="A10" s="4" t="s">
        <v>27</v>
      </c>
      <c r="B10" s="5" t="n">
        <v>43496.36</v>
      </c>
      <c r="C10" s="5" t="n">
        <v>16134.03</v>
      </c>
      <c r="D10" s="5" t="n">
        <v>1372.826</v>
      </c>
      <c r="E10" s="5" t="n">
        <v>588.354</v>
      </c>
      <c r="F10" s="5" t="n">
        <v>1747.998</v>
      </c>
      <c r="G10" s="5" t="n">
        <v>749.142</v>
      </c>
      <c r="H10" s="5" t="n">
        <v>4365.641</v>
      </c>
      <c r="I10" s="5" t="n">
        <v>1870.989</v>
      </c>
      <c r="J10" s="5" t="n">
        <v>1071.959</v>
      </c>
      <c r="K10" s="5" t="n">
        <v>459.411</v>
      </c>
      <c r="L10" s="5" t="n">
        <v>1181.292</v>
      </c>
      <c r="M10" s="5" t="n">
        <v>506.268</v>
      </c>
      <c r="N10" s="5" t="n">
        <v>9005.64</v>
      </c>
      <c r="O10" s="5" t="n">
        <v>4227.58</v>
      </c>
      <c r="P10" s="5" t="n">
        <v>0</v>
      </c>
      <c r="Q10" s="5" t="n">
        <v>0</v>
      </c>
      <c r="R10" s="5" t="n">
        <v>0</v>
      </c>
      <c r="S10" s="5" t="n">
        <v>0</v>
      </c>
    </row>
    <row r="11" customFormat="false" ht="12.75" hidden="false" customHeight="false" outlineLevel="0" collapsed="false">
      <c r="A11" s="4" t="s">
        <v>28</v>
      </c>
      <c r="B11" s="5" t="n">
        <v>44891.3</v>
      </c>
      <c r="C11" s="5" t="n">
        <v>17165.38</v>
      </c>
      <c r="D11" s="5" t="n">
        <v>1806</v>
      </c>
      <c r="E11" s="5" t="n">
        <v>774</v>
      </c>
      <c r="F11" s="5" t="n">
        <v>2170.707</v>
      </c>
      <c r="G11" s="5" t="n">
        <v>930.303</v>
      </c>
      <c r="H11" s="5" t="n">
        <v>4353.552</v>
      </c>
      <c r="I11" s="5" t="n">
        <v>1865.808</v>
      </c>
      <c r="J11" s="5" t="n">
        <v>67.368</v>
      </c>
      <c r="K11" s="5" t="n">
        <v>28.872</v>
      </c>
      <c r="L11" s="5" t="n">
        <v>1187.2</v>
      </c>
      <c r="M11" s="5" t="n">
        <v>508.8</v>
      </c>
      <c r="N11" s="5" t="n">
        <v>6086.84</v>
      </c>
      <c r="O11" s="5" t="n">
        <v>4659.17</v>
      </c>
      <c r="P11" s="5" t="n">
        <v>0</v>
      </c>
      <c r="Q11" s="5" t="n">
        <v>0</v>
      </c>
      <c r="R11" s="5" t="n">
        <v>0</v>
      </c>
      <c r="S11" s="5" t="n">
        <v>0</v>
      </c>
    </row>
    <row r="12" customFormat="false" ht="12.75" hidden="false" customHeight="false" outlineLevel="0" collapsed="false">
      <c r="A12" s="4" t="s">
        <v>29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</row>
    <row r="13" customFormat="false" ht="12.75" hidden="false" customHeight="false" outlineLevel="0" collapsed="false">
      <c r="A13" s="4" t="s">
        <v>30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</row>
    <row r="16" customFormat="false" ht="12.75" hidden="false" customHeight="false" outlineLevel="0" collapsed="false">
      <c r="D16" s="6"/>
      <c r="E16" s="6"/>
      <c r="F16" s="6"/>
    </row>
    <row r="17" customFormat="false" ht="12.75" hidden="false" customHeight="false" outlineLevel="0" collapsed="false">
      <c r="D17" s="7"/>
      <c r="E17" s="7"/>
      <c r="L17" s="8"/>
      <c r="M17" s="8"/>
      <c r="N17" s="8"/>
    </row>
    <row r="18" customFormat="false" ht="12.75" hidden="false" customHeight="false" outlineLevel="0" collapsed="false">
      <c r="C18" s="7"/>
      <c r="D18" s="7"/>
    </row>
    <row r="20" customFormat="false" ht="12.75" hidden="false" customHeight="false" outlineLevel="0" collapsed="false">
      <c r="H20" s="9"/>
    </row>
    <row r="22" customFormat="false" ht="12.75" hidden="false" customHeight="false" outlineLevel="0" collapsed="false">
      <c r="J22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U33" activeCellId="0" sqref="U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6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45992</v>
      </c>
      <c r="B2" s="12" t="n">
        <v>0</v>
      </c>
      <c r="C2" s="12" t="n">
        <v>0</v>
      </c>
      <c r="D2" s="12" t="n">
        <f aca="false">W3-W2</f>
        <v>0</v>
      </c>
      <c r="E2" s="12" t="n">
        <v>0</v>
      </c>
      <c r="F2" s="12" t="n">
        <f aca="false">X3-X2</f>
        <v>0</v>
      </c>
      <c r="G2" s="12" t="n">
        <v>0</v>
      </c>
      <c r="H2" s="12" t="n">
        <f aca="false">Y3-Y2</f>
        <v>0</v>
      </c>
      <c r="I2" s="12" t="n">
        <v>0</v>
      </c>
      <c r="J2" s="12" t="n">
        <f aca="false">Z3-Z2</f>
        <v>0</v>
      </c>
      <c r="K2" s="12" t="n">
        <v>0</v>
      </c>
      <c r="L2" s="12" t="n">
        <f aca="false">AA3-AA2</f>
        <v>0</v>
      </c>
      <c r="M2" s="12" t="n">
        <v>0</v>
      </c>
      <c r="N2" s="13" t="n">
        <v>252.91999999</v>
      </c>
      <c r="O2" s="13" t="n">
        <v>46.36</v>
      </c>
      <c r="P2" s="12" t="n">
        <f aca="false">AC3-AC2</f>
        <v>0</v>
      </c>
      <c r="Q2" s="12" t="n">
        <v>0</v>
      </c>
      <c r="R2" s="12" t="n">
        <v>0</v>
      </c>
      <c r="S2" s="12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" t="n">
        <v>45993</v>
      </c>
      <c r="B3" s="12" t="n">
        <v>0</v>
      </c>
      <c r="C3" s="12" t="n">
        <v>0</v>
      </c>
      <c r="D3" s="12" t="n">
        <f aca="false">W4-W3</f>
        <v>0</v>
      </c>
      <c r="E3" s="12" t="n">
        <v>0</v>
      </c>
      <c r="F3" s="12" t="n">
        <f aca="false">X4-X3</f>
        <v>0</v>
      </c>
      <c r="G3" s="12" t="n">
        <v>0</v>
      </c>
      <c r="H3" s="12" t="n">
        <f aca="false">Y4-Y3</f>
        <v>0</v>
      </c>
      <c r="I3" s="12" t="n">
        <v>0</v>
      </c>
      <c r="J3" s="12" t="n">
        <f aca="false">Z4-Z3</f>
        <v>0</v>
      </c>
      <c r="K3" s="12" t="n">
        <v>0</v>
      </c>
      <c r="L3" s="12" t="n">
        <f aca="false">AA4-AA3</f>
        <v>0</v>
      </c>
      <c r="M3" s="12" t="n">
        <v>0</v>
      </c>
      <c r="N3" s="13" t="n">
        <v>284.27999994</v>
      </c>
      <c r="O3" s="13" t="n">
        <v>52.03999999</v>
      </c>
      <c r="P3" s="12" t="n">
        <f aca="false">AC4-AC3</f>
        <v>0</v>
      </c>
      <c r="Q3" s="12" t="n">
        <v>0</v>
      </c>
      <c r="R3" s="12" t="n">
        <v>0</v>
      </c>
      <c r="S3" s="12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" t="n">
        <v>45994</v>
      </c>
      <c r="B4" s="12" t="n">
        <v>0</v>
      </c>
      <c r="C4" s="12" t="n">
        <v>0</v>
      </c>
      <c r="D4" s="12" t="n">
        <f aca="false">W5-W4</f>
        <v>0</v>
      </c>
      <c r="E4" s="12" t="n">
        <v>0</v>
      </c>
      <c r="F4" s="12" t="n">
        <f aca="false">X5-X4</f>
        <v>0</v>
      </c>
      <c r="G4" s="12" t="n">
        <v>0</v>
      </c>
      <c r="H4" s="12" t="n">
        <f aca="false">Y5-Y4</f>
        <v>0</v>
      </c>
      <c r="I4" s="12" t="n">
        <v>0</v>
      </c>
      <c r="J4" s="12" t="n">
        <f aca="false">Z5-Z4</f>
        <v>0</v>
      </c>
      <c r="K4" s="12" t="n">
        <v>0</v>
      </c>
      <c r="L4" s="12" t="n">
        <f aca="false">AA5-AA4</f>
        <v>0</v>
      </c>
      <c r="M4" s="12" t="n">
        <v>0</v>
      </c>
      <c r="N4" s="13" t="n">
        <v>311.79999991</v>
      </c>
      <c r="O4" s="13" t="n">
        <v>54.99999998</v>
      </c>
      <c r="P4" s="12" t="n">
        <f aca="false">AC5-AC4</f>
        <v>0</v>
      </c>
      <c r="Q4" s="12" t="n">
        <v>0</v>
      </c>
      <c r="R4" s="12" t="n">
        <v>0</v>
      </c>
      <c r="S4" s="12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" t="n">
        <v>45995</v>
      </c>
      <c r="B5" s="12" t="n">
        <v>0</v>
      </c>
      <c r="C5" s="12" t="n">
        <v>0</v>
      </c>
      <c r="D5" s="12" t="n">
        <f aca="false">W6-W5</f>
        <v>0</v>
      </c>
      <c r="E5" s="12" t="n">
        <v>0</v>
      </c>
      <c r="F5" s="12" t="n">
        <f aca="false">X6-X5</f>
        <v>0</v>
      </c>
      <c r="G5" s="12" t="n">
        <v>0</v>
      </c>
      <c r="H5" s="12" t="n">
        <f aca="false">Y6-Y5</f>
        <v>0</v>
      </c>
      <c r="I5" s="12" t="n">
        <v>0</v>
      </c>
      <c r="J5" s="12" t="n">
        <f aca="false">Z6-Z5</f>
        <v>0</v>
      </c>
      <c r="K5" s="12" t="n">
        <v>0</v>
      </c>
      <c r="L5" s="12" t="n">
        <f aca="false">AA6-AA5</f>
        <v>0</v>
      </c>
      <c r="M5" s="12" t="n">
        <v>0</v>
      </c>
      <c r="N5" s="13" t="n">
        <v>294.23999993</v>
      </c>
      <c r="O5" s="13" t="n">
        <v>45.19999999</v>
      </c>
      <c r="P5" s="12" t="n">
        <f aca="false">AC6-AC5</f>
        <v>0</v>
      </c>
      <c r="Q5" s="12" t="n">
        <v>0</v>
      </c>
      <c r="R5" s="12" t="n">
        <v>0</v>
      </c>
      <c r="S5" s="12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" t="n">
        <v>45996</v>
      </c>
      <c r="B6" s="12" t="n">
        <v>0</v>
      </c>
      <c r="C6" s="12" t="n">
        <v>0</v>
      </c>
      <c r="D6" s="12" t="n">
        <f aca="false">W7-W6</f>
        <v>0</v>
      </c>
      <c r="E6" s="12" t="n">
        <v>0</v>
      </c>
      <c r="F6" s="12" t="n">
        <f aca="false">X7-X6</f>
        <v>0</v>
      </c>
      <c r="G6" s="12" t="n">
        <v>0</v>
      </c>
      <c r="H6" s="12" t="n">
        <f aca="false">Y7-Y6</f>
        <v>0</v>
      </c>
      <c r="I6" s="12" t="n">
        <v>0</v>
      </c>
      <c r="J6" s="12" t="n">
        <f aca="false">Z7-Z6</f>
        <v>0</v>
      </c>
      <c r="K6" s="12" t="n">
        <v>0</v>
      </c>
      <c r="L6" s="12" t="n">
        <f aca="false">AA7-AA6</f>
        <v>0</v>
      </c>
      <c r="M6" s="12" t="n">
        <v>0</v>
      </c>
      <c r="N6" s="13" t="n">
        <v>287.11999995</v>
      </c>
      <c r="O6" s="13" t="n">
        <v>59.43999999</v>
      </c>
      <c r="P6" s="12" t="n">
        <f aca="false">AC7-AC6</f>
        <v>0</v>
      </c>
      <c r="Q6" s="12" t="n">
        <v>0</v>
      </c>
      <c r="R6" s="12" t="n">
        <v>0</v>
      </c>
      <c r="S6" s="12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" t="n">
        <v>45997</v>
      </c>
      <c r="B7" s="12" t="n">
        <v>0</v>
      </c>
      <c r="C7" s="12" t="n">
        <v>0</v>
      </c>
      <c r="D7" s="12" t="n">
        <f aca="false">W8-W7</f>
        <v>0</v>
      </c>
      <c r="E7" s="12" t="n">
        <v>0</v>
      </c>
      <c r="F7" s="12" t="n">
        <f aca="false">X8-X7</f>
        <v>0</v>
      </c>
      <c r="G7" s="12" t="n">
        <v>0</v>
      </c>
      <c r="H7" s="12" t="n">
        <f aca="false">Y8-Y7</f>
        <v>0</v>
      </c>
      <c r="I7" s="12" t="n">
        <v>0</v>
      </c>
      <c r="J7" s="12" t="n">
        <f aca="false">Z8-Z7</f>
        <v>0</v>
      </c>
      <c r="K7" s="12" t="n">
        <v>0</v>
      </c>
      <c r="L7" s="12" t="n">
        <f aca="false">AA8-AA7</f>
        <v>0</v>
      </c>
      <c r="M7" s="12" t="n">
        <v>0</v>
      </c>
      <c r="N7" s="13" t="n">
        <v>297.99999994</v>
      </c>
      <c r="O7" s="13" t="n">
        <v>60.32</v>
      </c>
      <c r="P7" s="12" t="n">
        <f aca="false">AC8-AC7</f>
        <v>0</v>
      </c>
      <c r="Q7" s="12" t="n">
        <v>0</v>
      </c>
      <c r="R7" s="12" t="n">
        <v>0</v>
      </c>
      <c r="S7" s="12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" t="n">
        <v>45998</v>
      </c>
      <c r="B8" s="12" t="n">
        <v>0</v>
      </c>
      <c r="C8" s="12" t="n">
        <v>0</v>
      </c>
      <c r="D8" s="12" t="n">
        <f aca="false">W9-W8</f>
        <v>0</v>
      </c>
      <c r="E8" s="12" t="n">
        <v>0</v>
      </c>
      <c r="F8" s="12" t="n">
        <f aca="false">X9-X8</f>
        <v>0</v>
      </c>
      <c r="G8" s="12" t="n">
        <v>0</v>
      </c>
      <c r="H8" s="12" t="n">
        <f aca="false">Y9-Y8</f>
        <v>0</v>
      </c>
      <c r="I8" s="12" t="n">
        <v>0</v>
      </c>
      <c r="J8" s="12" t="n">
        <f aca="false">Z9-Z8</f>
        <v>0</v>
      </c>
      <c r="K8" s="12" t="n">
        <v>0</v>
      </c>
      <c r="L8" s="12" t="n">
        <f aca="false">AA9-AA8</f>
        <v>0</v>
      </c>
      <c r="M8" s="12" t="n">
        <v>0</v>
      </c>
      <c r="N8" s="13" t="n">
        <v>316.0399999</v>
      </c>
      <c r="O8" s="13" t="n">
        <v>62.71999999</v>
      </c>
      <c r="P8" s="12" t="n">
        <f aca="false">AC9-AC8</f>
        <v>0</v>
      </c>
      <c r="Q8" s="12" t="n">
        <v>0</v>
      </c>
      <c r="R8" s="12" t="n">
        <v>0</v>
      </c>
      <c r="S8" s="12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" t="n">
        <v>45999</v>
      </c>
      <c r="B9" s="12" t="n">
        <v>0</v>
      </c>
      <c r="C9" s="12" t="n">
        <v>0</v>
      </c>
      <c r="D9" s="12" t="n">
        <f aca="false">W10-W9</f>
        <v>0</v>
      </c>
      <c r="E9" s="12" t="n">
        <v>0</v>
      </c>
      <c r="F9" s="12" t="n">
        <f aca="false">X10-X9</f>
        <v>0</v>
      </c>
      <c r="G9" s="12" t="n">
        <v>0</v>
      </c>
      <c r="H9" s="12" t="n">
        <f aca="false">Y10-Y9</f>
        <v>0</v>
      </c>
      <c r="I9" s="12" t="n">
        <v>0</v>
      </c>
      <c r="J9" s="12" t="n">
        <f aca="false">Z10-Z9</f>
        <v>0</v>
      </c>
      <c r="K9" s="12" t="n">
        <v>0</v>
      </c>
      <c r="L9" s="12" t="n">
        <f aca="false">AA10-AA9</f>
        <v>0</v>
      </c>
      <c r="M9" s="12" t="n">
        <v>0</v>
      </c>
      <c r="N9" s="13" t="n">
        <v>356.83999993</v>
      </c>
      <c r="O9" s="13" t="n">
        <v>60.43999998</v>
      </c>
      <c r="P9" s="12" t="n">
        <f aca="false">AC10-AC9</f>
        <v>0</v>
      </c>
      <c r="Q9" s="12" t="n">
        <v>0</v>
      </c>
      <c r="R9" s="12" t="n">
        <v>0</v>
      </c>
      <c r="S9" s="12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" t="n">
        <v>46000</v>
      </c>
      <c r="B10" s="12" t="n">
        <v>0</v>
      </c>
      <c r="C10" s="12" t="n">
        <v>0</v>
      </c>
      <c r="D10" s="12" t="n">
        <f aca="false">W11-W10</f>
        <v>0</v>
      </c>
      <c r="E10" s="12" t="n">
        <v>0</v>
      </c>
      <c r="F10" s="12" t="n">
        <f aca="false">X11-X10</f>
        <v>0</v>
      </c>
      <c r="G10" s="12" t="n">
        <v>0</v>
      </c>
      <c r="H10" s="12" t="n">
        <f aca="false">Y11-Y10</f>
        <v>0</v>
      </c>
      <c r="I10" s="12" t="n">
        <v>0</v>
      </c>
      <c r="J10" s="12" t="n">
        <f aca="false">Z11-Z10</f>
        <v>0</v>
      </c>
      <c r="K10" s="12" t="n">
        <v>0</v>
      </c>
      <c r="L10" s="12" t="n">
        <f aca="false">AA11-AA10</f>
        <v>0</v>
      </c>
      <c r="M10" s="12" t="n">
        <v>0</v>
      </c>
      <c r="N10" s="13" t="n">
        <v>341.07999994</v>
      </c>
      <c r="O10" s="13" t="n">
        <v>60.27999999</v>
      </c>
      <c r="P10" s="12" t="n">
        <f aca="false">AC11-AC10</f>
        <v>0</v>
      </c>
      <c r="Q10" s="12" t="n">
        <v>0</v>
      </c>
      <c r="R10" s="12" t="n">
        <v>0</v>
      </c>
      <c r="S10" s="12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" t="n">
        <v>46001</v>
      </c>
      <c r="B11" s="12" t="n">
        <v>0</v>
      </c>
      <c r="C11" s="12" t="n">
        <v>0</v>
      </c>
      <c r="D11" s="12" t="n">
        <f aca="false">W12-W11</f>
        <v>0</v>
      </c>
      <c r="E11" s="12" t="n">
        <v>0</v>
      </c>
      <c r="F11" s="12" t="n">
        <f aca="false">X12-X11</f>
        <v>0</v>
      </c>
      <c r="G11" s="12" t="n">
        <v>0</v>
      </c>
      <c r="H11" s="12" t="n">
        <f aca="false">Y12-Y11</f>
        <v>0</v>
      </c>
      <c r="I11" s="12" t="n">
        <v>0</v>
      </c>
      <c r="J11" s="12" t="n">
        <f aca="false">Z12-Z11</f>
        <v>0</v>
      </c>
      <c r="K11" s="12" t="n">
        <v>0</v>
      </c>
      <c r="L11" s="12" t="n">
        <f aca="false">AA12-AA11</f>
        <v>0</v>
      </c>
      <c r="M11" s="12" t="n">
        <v>0</v>
      </c>
      <c r="N11" s="13" t="n">
        <v>352.63999996</v>
      </c>
      <c r="O11" s="13" t="n">
        <v>71.32</v>
      </c>
      <c r="P11" s="12" t="n">
        <f aca="false">AC12-AC11</f>
        <v>0</v>
      </c>
      <c r="Q11" s="12" t="n">
        <v>0</v>
      </c>
      <c r="R11" s="12" t="n">
        <v>0</v>
      </c>
      <c r="S11" s="12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" t="n">
        <v>46002</v>
      </c>
      <c r="B12" s="12" t="n">
        <v>0</v>
      </c>
      <c r="C12" s="12" t="n">
        <v>0</v>
      </c>
      <c r="D12" s="12" t="n">
        <f aca="false">W13-W12</f>
        <v>0</v>
      </c>
      <c r="E12" s="12" t="n">
        <v>0</v>
      </c>
      <c r="F12" s="12" t="n">
        <f aca="false">X13-X12</f>
        <v>0</v>
      </c>
      <c r="G12" s="12" t="n">
        <v>0</v>
      </c>
      <c r="H12" s="12" t="n">
        <f aca="false">Y13-Y12</f>
        <v>0</v>
      </c>
      <c r="I12" s="12" t="n">
        <v>0</v>
      </c>
      <c r="J12" s="12" t="n">
        <f aca="false">Z13-Z12</f>
        <v>0</v>
      </c>
      <c r="K12" s="12" t="n">
        <v>0</v>
      </c>
      <c r="L12" s="12" t="n">
        <f aca="false">AA13-AA12</f>
        <v>0</v>
      </c>
      <c r="M12" s="12" t="n">
        <v>0</v>
      </c>
      <c r="N12" s="13" t="n">
        <v>359.83999992</v>
      </c>
      <c r="O12" s="13" t="n">
        <v>68.84</v>
      </c>
      <c r="P12" s="12" t="n">
        <f aca="false">AC13-AC12</f>
        <v>0</v>
      </c>
      <c r="Q12" s="12" t="n">
        <v>0</v>
      </c>
      <c r="R12" s="12" t="n">
        <v>0</v>
      </c>
      <c r="S12" s="12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" t="n">
        <v>46003</v>
      </c>
      <c r="B13" s="12" t="n">
        <v>0</v>
      </c>
      <c r="C13" s="12" t="n">
        <v>0</v>
      </c>
      <c r="D13" s="12" t="n">
        <f aca="false">W14-W13</f>
        <v>0</v>
      </c>
      <c r="E13" s="12" t="n">
        <v>0</v>
      </c>
      <c r="F13" s="12" t="n">
        <f aca="false">X14-X13</f>
        <v>0</v>
      </c>
      <c r="G13" s="12" t="n">
        <v>0</v>
      </c>
      <c r="H13" s="12" t="n">
        <f aca="false">Y14-Y13</f>
        <v>0</v>
      </c>
      <c r="I13" s="12" t="n">
        <v>0</v>
      </c>
      <c r="J13" s="12" t="n">
        <f aca="false">Z14-Z13</f>
        <v>0</v>
      </c>
      <c r="K13" s="12" t="n">
        <v>0</v>
      </c>
      <c r="L13" s="12" t="n">
        <f aca="false">AA14-AA13</f>
        <v>0</v>
      </c>
      <c r="M13" s="12" t="n">
        <v>0</v>
      </c>
      <c r="N13" s="13" t="n">
        <v>379.59999992</v>
      </c>
      <c r="O13" s="13" t="n">
        <v>69.67999998</v>
      </c>
      <c r="P13" s="12" t="n">
        <f aca="false">AC14-AC13</f>
        <v>0</v>
      </c>
      <c r="Q13" s="12" t="n">
        <v>0</v>
      </c>
      <c r="R13" s="12" t="n">
        <v>0</v>
      </c>
      <c r="S13" s="12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" t="n">
        <v>46004</v>
      </c>
      <c r="B14" s="12" t="n">
        <v>0</v>
      </c>
      <c r="C14" s="12" t="n">
        <v>0</v>
      </c>
      <c r="D14" s="12" t="n">
        <f aca="false">W15-W14</f>
        <v>0</v>
      </c>
      <c r="E14" s="12" t="n">
        <v>0</v>
      </c>
      <c r="F14" s="12" t="n">
        <f aca="false">X15-X14</f>
        <v>0</v>
      </c>
      <c r="G14" s="12" t="n">
        <v>0</v>
      </c>
      <c r="H14" s="12" t="n">
        <f aca="false">Y15-Y14</f>
        <v>0</v>
      </c>
      <c r="I14" s="12" t="n">
        <v>0</v>
      </c>
      <c r="J14" s="12" t="n">
        <f aca="false">Z15-Z14</f>
        <v>0</v>
      </c>
      <c r="K14" s="12" t="n">
        <v>0</v>
      </c>
      <c r="L14" s="12" t="n">
        <f aca="false">AA15-AA14</f>
        <v>0</v>
      </c>
      <c r="M14" s="12" t="n">
        <v>0</v>
      </c>
      <c r="N14" s="13" t="n">
        <v>329.83999991</v>
      </c>
      <c r="O14" s="13" t="n">
        <v>58.03999999</v>
      </c>
      <c r="P14" s="12" t="n">
        <f aca="false">AC15-AC14</f>
        <v>0</v>
      </c>
      <c r="Q14" s="12" t="n">
        <v>0</v>
      </c>
      <c r="R14" s="12" t="n">
        <v>0</v>
      </c>
      <c r="S14" s="12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" t="n">
        <v>46005</v>
      </c>
      <c r="B15" s="12" t="n">
        <v>0</v>
      </c>
      <c r="C15" s="12" t="n">
        <v>0</v>
      </c>
      <c r="D15" s="12" t="n">
        <f aca="false">W16-W15</f>
        <v>0</v>
      </c>
      <c r="E15" s="12" t="n">
        <v>0</v>
      </c>
      <c r="F15" s="12" t="n">
        <f aca="false">X16-X15</f>
        <v>0</v>
      </c>
      <c r="G15" s="12" t="n">
        <v>0</v>
      </c>
      <c r="H15" s="12" t="n">
        <f aca="false">Y16-Y15</f>
        <v>0</v>
      </c>
      <c r="I15" s="12" t="n">
        <v>0</v>
      </c>
      <c r="J15" s="12" t="n">
        <v>1</v>
      </c>
      <c r="K15" s="12" t="n">
        <v>0</v>
      </c>
      <c r="L15" s="12" t="n">
        <f aca="false">AA16-AA15</f>
        <v>0</v>
      </c>
      <c r="M15" s="12" t="n">
        <v>0</v>
      </c>
      <c r="N15" s="13" t="n">
        <v>289.95999995</v>
      </c>
      <c r="O15" s="13" t="n">
        <v>47.39999997</v>
      </c>
      <c r="P15" s="12" t="n">
        <f aca="false">AC16-AC15</f>
        <v>0</v>
      </c>
      <c r="Q15" s="12" t="n">
        <v>0</v>
      </c>
      <c r="R15" s="12" t="n">
        <v>0</v>
      </c>
      <c r="S15" s="12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" t="n">
        <v>46006</v>
      </c>
      <c r="B16" s="12" t="n">
        <v>0</v>
      </c>
      <c r="C16" s="12" t="n">
        <v>0</v>
      </c>
      <c r="D16" s="12" t="n">
        <f aca="false">W17-W16</f>
        <v>0</v>
      </c>
      <c r="E16" s="12" t="n">
        <v>0</v>
      </c>
      <c r="F16" s="12" t="n">
        <f aca="false">X17-X16</f>
        <v>0</v>
      </c>
      <c r="G16" s="12" t="n">
        <v>0</v>
      </c>
      <c r="H16" s="12" t="n">
        <f aca="false">Y17-Y16</f>
        <v>0</v>
      </c>
      <c r="I16" s="12" t="n">
        <v>0</v>
      </c>
      <c r="J16" s="12" t="n">
        <f aca="false">Z17-Z16</f>
        <v>0</v>
      </c>
      <c r="K16" s="12" t="n">
        <v>0</v>
      </c>
      <c r="L16" s="12" t="n">
        <f aca="false">AA17-AA16</f>
        <v>0</v>
      </c>
      <c r="M16" s="12" t="n">
        <v>0</v>
      </c>
      <c r="N16" s="13" t="n">
        <v>306.19999992</v>
      </c>
      <c r="O16" s="13" t="n">
        <v>59.71999999</v>
      </c>
      <c r="P16" s="12" t="n">
        <f aca="false">AC17-AC16</f>
        <v>0</v>
      </c>
      <c r="Q16" s="12" t="n">
        <v>0</v>
      </c>
      <c r="R16" s="12" t="n">
        <v>0</v>
      </c>
      <c r="S16" s="12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" t="n">
        <v>46007</v>
      </c>
      <c r="B17" s="12" t="n">
        <v>0</v>
      </c>
      <c r="C17" s="12" t="n">
        <v>0</v>
      </c>
      <c r="D17" s="12" t="n">
        <f aca="false">W18-W17</f>
        <v>0</v>
      </c>
      <c r="E17" s="12" t="n">
        <v>0</v>
      </c>
      <c r="F17" s="12" t="n">
        <f aca="false">X18-X17</f>
        <v>0</v>
      </c>
      <c r="G17" s="12" t="n">
        <v>0</v>
      </c>
      <c r="H17" s="12" t="n">
        <f aca="false">Y18-Y17</f>
        <v>0</v>
      </c>
      <c r="I17" s="12" t="n">
        <v>0</v>
      </c>
      <c r="J17" s="12" t="n">
        <f aca="false">Z18-Z17</f>
        <v>0</v>
      </c>
      <c r="K17" s="12" t="n">
        <v>0</v>
      </c>
      <c r="L17" s="12" t="n">
        <f aca="false">AA18-AA17</f>
        <v>0</v>
      </c>
      <c r="M17" s="12" t="n">
        <v>0</v>
      </c>
      <c r="N17" s="13" t="n">
        <v>254.83999995</v>
      </c>
      <c r="O17" s="13" t="n">
        <v>45.08</v>
      </c>
      <c r="P17" s="12" t="n">
        <f aca="false">AC18-AC17</f>
        <v>0</v>
      </c>
      <c r="Q17" s="12" t="n">
        <v>0</v>
      </c>
      <c r="R17" s="12" t="n">
        <v>0</v>
      </c>
      <c r="S17" s="12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" t="n">
        <v>46008</v>
      </c>
      <c r="B18" s="12" t="n">
        <v>0</v>
      </c>
      <c r="C18" s="12" t="n">
        <v>0</v>
      </c>
      <c r="D18" s="12" t="n">
        <f aca="false">W19-W18</f>
        <v>0</v>
      </c>
      <c r="E18" s="12" t="n">
        <v>0</v>
      </c>
      <c r="F18" s="12" t="n">
        <f aca="false">X19-X18</f>
        <v>0</v>
      </c>
      <c r="G18" s="12" t="n">
        <v>0</v>
      </c>
      <c r="H18" s="12" t="n">
        <f aca="false">Y19-Y18</f>
        <v>0</v>
      </c>
      <c r="I18" s="12" t="n">
        <v>0</v>
      </c>
      <c r="J18" s="12" t="n">
        <f aca="false">Z19-Z18</f>
        <v>0</v>
      </c>
      <c r="K18" s="12" t="n">
        <v>0</v>
      </c>
      <c r="L18" s="12" t="n">
        <f aca="false">AA19-AA18</f>
        <v>0</v>
      </c>
      <c r="M18" s="12" t="n">
        <v>0</v>
      </c>
      <c r="N18" s="13" t="n">
        <v>318.79999996</v>
      </c>
      <c r="O18" s="13" t="n">
        <v>54.47999999</v>
      </c>
      <c r="P18" s="12" t="n">
        <f aca="false">AC19-AC18</f>
        <v>0</v>
      </c>
      <c r="Q18" s="12" t="n">
        <v>0</v>
      </c>
      <c r="R18" s="12" t="n">
        <v>0</v>
      </c>
      <c r="S18" s="12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" t="n">
        <v>46009</v>
      </c>
      <c r="B19" s="12" t="n">
        <v>0</v>
      </c>
      <c r="C19" s="12" t="n">
        <v>0</v>
      </c>
      <c r="D19" s="12" t="n">
        <f aca="false">W20-W19</f>
        <v>0</v>
      </c>
      <c r="E19" s="12" t="n">
        <v>0</v>
      </c>
      <c r="F19" s="12" t="n">
        <f aca="false">X20-X19</f>
        <v>0</v>
      </c>
      <c r="G19" s="12" t="n">
        <v>0</v>
      </c>
      <c r="H19" s="12" t="n">
        <f aca="false">Y20-Y19</f>
        <v>0</v>
      </c>
      <c r="I19" s="12" t="n">
        <v>0</v>
      </c>
      <c r="J19" s="12" t="n">
        <f aca="false">Z20-Z19</f>
        <v>0</v>
      </c>
      <c r="K19" s="12" t="n">
        <v>0</v>
      </c>
      <c r="L19" s="12" t="n">
        <f aca="false">AA20-AA19</f>
        <v>0</v>
      </c>
      <c r="M19" s="12" t="n">
        <v>0</v>
      </c>
      <c r="N19" s="13" t="n">
        <v>350.31999993</v>
      </c>
      <c r="O19" s="13" t="n">
        <v>60.59999998</v>
      </c>
      <c r="P19" s="12" t="n">
        <f aca="false">AC20-AC19</f>
        <v>0</v>
      </c>
      <c r="Q19" s="12" t="n">
        <v>0</v>
      </c>
      <c r="R19" s="12" t="n">
        <v>0</v>
      </c>
      <c r="S19" s="12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" t="n">
        <v>46010</v>
      </c>
      <c r="B20" s="12" t="n">
        <v>0</v>
      </c>
      <c r="C20" s="12" t="n">
        <v>0</v>
      </c>
      <c r="D20" s="12" t="n">
        <f aca="false">W21-W20</f>
        <v>0</v>
      </c>
      <c r="E20" s="12" t="n">
        <v>0</v>
      </c>
      <c r="F20" s="12" t="n">
        <f aca="false">X21-X20</f>
        <v>0</v>
      </c>
      <c r="G20" s="12" t="n">
        <v>0</v>
      </c>
      <c r="H20" s="12" t="n">
        <f aca="false">Y21-Y20</f>
        <v>0</v>
      </c>
      <c r="I20" s="12" t="n">
        <v>0</v>
      </c>
      <c r="J20" s="12" t="n">
        <f aca="false">Z21-Z20</f>
        <v>0</v>
      </c>
      <c r="K20" s="12" t="n">
        <v>0</v>
      </c>
      <c r="L20" s="12" t="n">
        <f aca="false">AA21-AA20</f>
        <v>0</v>
      </c>
      <c r="M20" s="12" t="n">
        <v>0</v>
      </c>
      <c r="N20" s="13" t="n">
        <v>327.67999996</v>
      </c>
      <c r="O20" s="13" t="n">
        <v>52.07999999</v>
      </c>
      <c r="P20" s="12" t="n">
        <f aca="false">AC21-AC20</f>
        <v>0</v>
      </c>
      <c r="Q20" s="12" t="n">
        <v>0</v>
      </c>
      <c r="R20" s="12" t="n">
        <v>0</v>
      </c>
      <c r="S20" s="12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" t="n">
        <v>46011</v>
      </c>
      <c r="B21" s="12" t="n">
        <v>0</v>
      </c>
      <c r="C21" s="12" t="n">
        <v>0</v>
      </c>
      <c r="D21" s="12" t="n">
        <f aca="false">W22-W21</f>
        <v>0</v>
      </c>
      <c r="E21" s="12" t="n">
        <v>0</v>
      </c>
      <c r="F21" s="12" t="n">
        <f aca="false">X22-X21</f>
        <v>0</v>
      </c>
      <c r="G21" s="12" t="n">
        <v>0</v>
      </c>
      <c r="H21" s="12" t="n">
        <f aca="false">Y22-Y21</f>
        <v>0</v>
      </c>
      <c r="I21" s="12" t="n">
        <v>0</v>
      </c>
      <c r="J21" s="12" t="n">
        <f aca="false">Z22-Z21</f>
        <v>0</v>
      </c>
      <c r="K21" s="12" t="n">
        <v>0</v>
      </c>
      <c r="L21" s="12" t="n">
        <f aca="false">AA22-AA21</f>
        <v>0</v>
      </c>
      <c r="M21" s="12" t="n">
        <v>0</v>
      </c>
      <c r="N21" s="13" t="n">
        <v>320.27999995</v>
      </c>
      <c r="O21" s="13" t="n">
        <v>80.32</v>
      </c>
      <c r="P21" s="12" t="n">
        <f aca="false">AC22-AC21</f>
        <v>0</v>
      </c>
      <c r="Q21" s="12" t="n">
        <v>0</v>
      </c>
      <c r="R21" s="12" t="n">
        <v>0</v>
      </c>
      <c r="S21" s="12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" t="n">
        <v>46012</v>
      </c>
      <c r="B22" s="12" t="n">
        <v>0</v>
      </c>
      <c r="C22" s="12" t="n">
        <v>0</v>
      </c>
      <c r="D22" s="12" t="n">
        <f aca="false">W23-W22</f>
        <v>0</v>
      </c>
      <c r="E22" s="12" t="n">
        <v>0</v>
      </c>
      <c r="F22" s="12" t="n">
        <f aca="false">X23-X22</f>
        <v>0</v>
      </c>
      <c r="G22" s="12" t="n">
        <v>0</v>
      </c>
      <c r="H22" s="12" t="n">
        <f aca="false">Y23-Y22</f>
        <v>0</v>
      </c>
      <c r="I22" s="12" t="n">
        <v>0</v>
      </c>
      <c r="J22" s="12" t="n">
        <f aca="false">Z23-Z22</f>
        <v>0</v>
      </c>
      <c r="K22" s="12" t="n">
        <v>0</v>
      </c>
      <c r="L22" s="12" t="n">
        <f aca="false">AA23-AA22</f>
        <v>0</v>
      </c>
      <c r="M22" s="12" t="n">
        <v>0</v>
      </c>
      <c r="N22" s="13" t="n">
        <v>414.95999994</v>
      </c>
      <c r="O22" s="13" t="n">
        <v>72.27999999</v>
      </c>
      <c r="P22" s="12" t="n">
        <f aca="false">AC23-AC22</f>
        <v>0</v>
      </c>
      <c r="Q22" s="12" t="n">
        <v>0</v>
      </c>
      <c r="R22" s="12" t="n">
        <v>0</v>
      </c>
      <c r="S22" s="12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" t="n">
        <v>46013</v>
      </c>
      <c r="B23" s="12" t="n">
        <v>0</v>
      </c>
      <c r="C23" s="12" t="n">
        <v>0</v>
      </c>
      <c r="D23" s="12" t="n">
        <f aca="false">W24-W23</f>
        <v>0</v>
      </c>
      <c r="E23" s="12" t="n">
        <v>0</v>
      </c>
      <c r="F23" s="12" t="n">
        <f aca="false">X24-X23</f>
        <v>0</v>
      </c>
      <c r="G23" s="12" t="n">
        <v>0</v>
      </c>
      <c r="H23" s="12" t="n">
        <f aca="false">Y24-Y23</f>
        <v>0</v>
      </c>
      <c r="I23" s="12" t="n">
        <v>0</v>
      </c>
      <c r="J23" s="12" t="n">
        <f aca="false">Z24-Z23</f>
        <v>0</v>
      </c>
      <c r="K23" s="12" t="n">
        <v>0</v>
      </c>
      <c r="L23" s="12" t="n">
        <f aca="false">AA24-AA23</f>
        <v>0</v>
      </c>
      <c r="M23" s="12" t="n">
        <v>0</v>
      </c>
      <c r="N23" s="13" t="n">
        <v>406.1199999</v>
      </c>
      <c r="O23" s="13" t="n">
        <v>78.44</v>
      </c>
      <c r="P23" s="12" t="n">
        <f aca="false">AC24-AC23</f>
        <v>0</v>
      </c>
      <c r="Q23" s="12" t="n">
        <v>0</v>
      </c>
      <c r="R23" s="12" t="n">
        <v>0</v>
      </c>
      <c r="S23" s="12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" t="n">
        <v>46014</v>
      </c>
      <c r="B24" s="12" t="n">
        <v>0</v>
      </c>
      <c r="C24" s="12" t="n">
        <v>0</v>
      </c>
      <c r="D24" s="12" t="n">
        <f aca="false">W25-W24</f>
        <v>0</v>
      </c>
      <c r="E24" s="12" t="n">
        <v>0</v>
      </c>
      <c r="F24" s="12" t="n">
        <f aca="false">X25-X24</f>
        <v>0</v>
      </c>
      <c r="G24" s="12" t="n">
        <v>0</v>
      </c>
      <c r="H24" s="12" t="n">
        <f aca="false">Y25-Y24</f>
        <v>0</v>
      </c>
      <c r="I24" s="12" t="n">
        <v>0</v>
      </c>
      <c r="J24" s="12" t="n">
        <f aca="false">Z25-Z24</f>
        <v>0</v>
      </c>
      <c r="K24" s="12" t="n">
        <v>0</v>
      </c>
      <c r="L24" s="12" t="n">
        <f aca="false">AA25-AA24</f>
        <v>0</v>
      </c>
      <c r="M24" s="12" t="n">
        <v>0</v>
      </c>
      <c r="N24" s="13" t="n">
        <v>394.71999998</v>
      </c>
      <c r="O24" s="13" t="n">
        <v>71.03999999</v>
      </c>
      <c r="P24" s="12" t="n">
        <f aca="false">AC25-AC24</f>
        <v>0</v>
      </c>
      <c r="Q24" s="12" t="n">
        <v>0</v>
      </c>
      <c r="R24" s="12" t="n">
        <v>0</v>
      </c>
      <c r="S24" s="12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" t="n">
        <v>46015</v>
      </c>
      <c r="B25" s="12" t="n">
        <v>0</v>
      </c>
      <c r="C25" s="12" t="n">
        <v>0</v>
      </c>
      <c r="D25" s="12" t="n">
        <f aca="false">W26-W25</f>
        <v>0</v>
      </c>
      <c r="E25" s="12" t="n">
        <v>0</v>
      </c>
      <c r="F25" s="12" t="n">
        <f aca="false">X26-X25</f>
        <v>0</v>
      </c>
      <c r="G25" s="12" t="n">
        <v>0</v>
      </c>
      <c r="H25" s="12" t="n">
        <f aca="false">Y26-Y25</f>
        <v>0</v>
      </c>
      <c r="I25" s="12" t="n">
        <v>0</v>
      </c>
      <c r="J25" s="12" t="n">
        <f aca="false">Z26-Z25</f>
        <v>0</v>
      </c>
      <c r="K25" s="12" t="n">
        <v>0</v>
      </c>
      <c r="L25" s="12" t="n">
        <f aca="false">AA26-AA25</f>
        <v>0</v>
      </c>
      <c r="M25" s="12" t="n">
        <v>0</v>
      </c>
      <c r="N25" s="13" t="n">
        <v>408.31999993</v>
      </c>
      <c r="O25" s="13" t="n">
        <v>74.28</v>
      </c>
      <c r="P25" s="12" t="n">
        <f aca="false">AC26-AC25</f>
        <v>0</v>
      </c>
      <c r="Q25" s="12" t="n">
        <v>0</v>
      </c>
      <c r="R25" s="12" t="n">
        <v>0</v>
      </c>
      <c r="S25" s="12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" t="n">
        <v>46016</v>
      </c>
      <c r="B26" s="12" t="n">
        <v>0</v>
      </c>
      <c r="C26" s="12" t="n">
        <v>0</v>
      </c>
      <c r="D26" s="12" t="n">
        <f aca="false">W27-W26</f>
        <v>0</v>
      </c>
      <c r="E26" s="12" t="n">
        <v>0</v>
      </c>
      <c r="F26" s="12" t="n">
        <f aca="false">X27-X26</f>
        <v>0</v>
      </c>
      <c r="G26" s="12" t="n">
        <v>0</v>
      </c>
      <c r="H26" s="12" t="n">
        <f aca="false">Y27-Y26</f>
        <v>0</v>
      </c>
      <c r="I26" s="12" t="n">
        <v>0</v>
      </c>
      <c r="J26" s="12" t="n">
        <f aca="false">Z27-Z26</f>
        <v>0</v>
      </c>
      <c r="K26" s="12" t="n">
        <v>0</v>
      </c>
      <c r="L26" s="12" t="n">
        <f aca="false">AA27-AA26</f>
        <v>0</v>
      </c>
      <c r="M26" s="12" t="n">
        <v>0</v>
      </c>
      <c r="N26" s="13" t="n">
        <v>455.15999996</v>
      </c>
      <c r="O26" s="13" t="n">
        <v>83.88</v>
      </c>
      <c r="P26" s="12" t="n">
        <f aca="false">AC27-AC26</f>
        <v>0</v>
      </c>
      <c r="Q26" s="12" t="n">
        <v>0</v>
      </c>
      <c r="R26" s="12" t="n">
        <v>0</v>
      </c>
      <c r="S26" s="12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" t="n">
        <v>46017</v>
      </c>
      <c r="B27" s="12" t="n">
        <v>0</v>
      </c>
      <c r="C27" s="12" t="n">
        <v>0</v>
      </c>
      <c r="D27" s="12" t="n">
        <f aca="false">W28-W27</f>
        <v>0</v>
      </c>
      <c r="E27" s="12" t="n">
        <v>0</v>
      </c>
      <c r="F27" s="12" t="n">
        <f aca="false">X28-X27</f>
        <v>0</v>
      </c>
      <c r="G27" s="12" t="n">
        <v>0</v>
      </c>
      <c r="H27" s="12" t="n">
        <f aca="false">Y28-Y27</f>
        <v>0</v>
      </c>
      <c r="I27" s="12" t="n">
        <v>0</v>
      </c>
      <c r="J27" s="12" t="n">
        <f aca="false">Z28-Z27</f>
        <v>0</v>
      </c>
      <c r="K27" s="12" t="n">
        <v>0</v>
      </c>
      <c r="L27" s="12" t="n">
        <f aca="false">AA28-AA27</f>
        <v>0</v>
      </c>
      <c r="M27" s="12" t="n">
        <v>0</v>
      </c>
      <c r="N27" s="13" t="n">
        <v>446.31999994</v>
      </c>
      <c r="O27" s="13" t="n">
        <v>71.31999997</v>
      </c>
      <c r="P27" s="12" t="n">
        <f aca="false">AC28-AC27</f>
        <v>0</v>
      </c>
      <c r="Q27" s="12" t="n">
        <v>0</v>
      </c>
      <c r="R27" s="12" t="n">
        <v>0</v>
      </c>
      <c r="S27" s="12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" t="n">
        <v>46018</v>
      </c>
      <c r="B28" s="12" t="n">
        <v>0</v>
      </c>
      <c r="C28" s="12" t="n">
        <v>0</v>
      </c>
      <c r="D28" s="12" t="n">
        <f aca="false">W29-W28</f>
        <v>0</v>
      </c>
      <c r="E28" s="12" t="n">
        <v>0</v>
      </c>
      <c r="F28" s="12" t="n">
        <f aca="false">X29-X28</f>
        <v>0</v>
      </c>
      <c r="G28" s="12" t="n">
        <v>0</v>
      </c>
      <c r="H28" s="12" t="n">
        <f aca="false">Y29-Y28</f>
        <v>0</v>
      </c>
      <c r="I28" s="12" t="n">
        <v>0</v>
      </c>
      <c r="J28" s="12" t="n">
        <f aca="false">Z29-Z28</f>
        <v>0</v>
      </c>
      <c r="K28" s="12" t="n">
        <v>0</v>
      </c>
      <c r="L28" s="12" t="n">
        <f aca="false">AA29-AA28</f>
        <v>0</v>
      </c>
      <c r="M28" s="12" t="n">
        <v>0</v>
      </c>
      <c r="N28" s="13" t="n">
        <v>299.51999994</v>
      </c>
      <c r="O28" s="13" t="n">
        <v>49.11999998</v>
      </c>
      <c r="P28" s="12" t="n">
        <f aca="false">AC29-AC28</f>
        <v>0</v>
      </c>
      <c r="Q28" s="12" t="n">
        <v>0</v>
      </c>
      <c r="R28" s="12" t="n">
        <v>0</v>
      </c>
      <c r="S28" s="12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" t="n">
        <v>46019</v>
      </c>
      <c r="B29" s="12" t="n">
        <v>0</v>
      </c>
      <c r="C29" s="12" t="n">
        <v>0</v>
      </c>
      <c r="D29" s="12" t="n">
        <f aca="false">W30-W29</f>
        <v>0</v>
      </c>
      <c r="E29" s="12" t="n">
        <v>0</v>
      </c>
      <c r="F29" s="12" t="n">
        <f aca="false">X30-X29</f>
        <v>0</v>
      </c>
      <c r="G29" s="12" t="n">
        <v>0</v>
      </c>
      <c r="H29" s="12" t="n">
        <f aca="false">Y30-Y29</f>
        <v>0</v>
      </c>
      <c r="I29" s="12" t="n">
        <v>0</v>
      </c>
      <c r="J29" s="12" t="n">
        <f aca="false">Z30-Z29</f>
        <v>0</v>
      </c>
      <c r="K29" s="12" t="n">
        <v>0</v>
      </c>
      <c r="L29" s="12" t="n">
        <f aca="false">AA30-AA29</f>
        <v>0</v>
      </c>
      <c r="M29" s="12" t="n">
        <v>0</v>
      </c>
      <c r="N29" s="13" t="n">
        <v>359.11999994</v>
      </c>
      <c r="O29" s="13" t="n">
        <v>74.84</v>
      </c>
      <c r="P29" s="12" t="n">
        <f aca="false">AC30-AC29</f>
        <v>0</v>
      </c>
      <c r="Q29" s="12" t="n">
        <v>0</v>
      </c>
      <c r="R29" s="12" t="n">
        <v>0</v>
      </c>
      <c r="S29" s="12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" t="n">
        <v>46020</v>
      </c>
      <c r="B30" s="12" t="n">
        <v>0</v>
      </c>
      <c r="C30" s="12" t="n">
        <v>0</v>
      </c>
      <c r="D30" s="12" t="n">
        <f aca="false">W31-W30</f>
        <v>0</v>
      </c>
      <c r="E30" s="12" t="n">
        <v>0</v>
      </c>
      <c r="F30" s="12" t="n">
        <f aca="false">X31-X30</f>
        <v>0</v>
      </c>
      <c r="G30" s="12" t="n">
        <v>0</v>
      </c>
      <c r="H30" s="12" t="n">
        <f aca="false">Y31-Y30</f>
        <v>0</v>
      </c>
      <c r="I30" s="12" t="n">
        <v>0</v>
      </c>
      <c r="J30" s="12" t="n">
        <f aca="false">Z31-Z30</f>
        <v>0</v>
      </c>
      <c r="K30" s="12" t="n">
        <v>0</v>
      </c>
      <c r="L30" s="12" t="n">
        <f aca="false">AA31-AA30</f>
        <v>0</v>
      </c>
      <c r="M30" s="12" t="n">
        <v>0</v>
      </c>
      <c r="N30" s="13" t="n">
        <v>387.27999996</v>
      </c>
      <c r="O30" s="13" t="n">
        <v>60.43999999</v>
      </c>
      <c r="P30" s="12" t="n">
        <f aca="false">AC31-AC30</f>
        <v>0</v>
      </c>
      <c r="Q30" s="12" t="n">
        <v>0</v>
      </c>
      <c r="R30" s="12" t="n">
        <v>0</v>
      </c>
      <c r="S30" s="12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" t="n">
        <v>46021</v>
      </c>
      <c r="B31" s="12" t="n">
        <v>0</v>
      </c>
      <c r="C31" s="12" t="n">
        <v>0</v>
      </c>
      <c r="D31" s="12" t="n">
        <f aca="false">W32-W31</f>
        <v>0</v>
      </c>
      <c r="E31" s="12" t="n">
        <v>0</v>
      </c>
      <c r="F31" s="12" t="n">
        <f aca="false">X32-X31</f>
        <v>0</v>
      </c>
      <c r="G31" s="12" t="n">
        <v>0</v>
      </c>
      <c r="H31" s="12" t="n">
        <f aca="false">Y32-Y31</f>
        <v>0</v>
      </c>
      <c r="I31" s="12" t="n">
        <v>0</v>
      </c>
      <c r="J31" s="12" t="n">
        <f aca="false">Z32-Z31</f>
        <v>0</v>
      </c>
      <c r="K31" s="12" t="n">
        <v>0</v>
      </c>
      <c r="L31" s="12" t="n">
        <f aca="false">AA32-AA31</f>
        <v>0</v>
      </c>
      <c r="M31" s="12" t="n">
        <v>0</v>
      </c>
      <c r="N31" s="13" t="n">
        <v>327.75999994</v>
      </c>
      <c r="O31" s="13" t="n">
        <v>48.35999999</v>
      </c>
      <c r="P31" s="12" t="n">
        <f aca="false">AC32-AC31</f>
        <v>0</v>
      </c>
      <c r="Q31" s="12" t="n">
        <v>0</v>
      </c>
      <c r="R31" s="12" t="n">
        <v>0</v>
      </c>
      <c r="S31" s="12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A32" s="4" t="n">
        <v>46022</v>
      </c>
      <c r="B32" s="12" t="n">
        <v>0</v>
      </c>
      <c r="C32" s="12" t="n">
        <v>0</v>
      </c>
      <c r="D32" s="12" t="n">
        <f aca="false">W33-W32</f>
        <v>0</v>
      </c>
      <c r="E32" s="12" t="n">
        <v>0</v>
      </c>
      <c r="F32" s="12" t="n">
        <f aca="false">X33-X32</f>
        <v>0</v>
      </c>
      <c r="G32" s="12" t="n">
        <v>0</v>
      </c>
      <c r="H32" s="12" t="n">
        <f aca="false">Y33-Y32</f>
        <v>0</v>
      </c>
      <c r="I32" s="12" t="n">
        <v>0</v>
      </c>
      <c r="J32" s="12" t="n">
        <f aca="false">Z33-Z32</f>
        <v>0</v>
      </c>
      <c r="K32" s="12" t="n">
        <v>0</v>
      </c>
      <c r="L32" s="12" t="n">
        <f aca="false">AA33-AA32</f>
        <v>0</v>
      </c>
      <c r="M32" s="12" t="n">
        <v>0</v>
      </c>
      <c r="N32" s="13" t="n">
        <v>293.39999992</v>
      </c>
      <c r="O32" s="13" t="n">
        <v>54.35999998</v>
      </c>
      <c r="P32" s="12" t="n">
        <f aca="false">AC33-AC32</f>
        <v>0</v>
      </c>
      <c r="Q32" s="12" t="n">
        <v>0</v>
      </c>
      <c r="R32" s="12" t="n">
        <v>0</v>
      </c>
      <c r="S32" s="12" t="n">
        <f aca="false">AD33-AD32</f>
        <v>0</v>
      </c>
      <c r="T32" s="12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2.7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L33" s="28"/>
      <c r="M33" s="28"/>
      <c r="N33" s="28"/>
      <c r="O33" s="28"/>
      <c r="P33" s="28"/>
      <c r="Q33" s="28"/>
      <c r="R33" s="28"/>
      <c r="S33" s="28"/>
      <c r="U33" s="28"/>
    </row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W20" activeCellId="0" sqref="W2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1.54"/>
    <col collapsed="false" customWidth="true" hidden="false" outlineLevel="0" max="26" min="26" style="1" width="15.58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45962</v>
      </c>
      <c r="B2" s="12" t="n">
        <v>0</v>
      </c>
      <c r="C2" s="12" t="n">
        <v>0</v>
      </c>
      <c r="D2" s="19" t="n">
        <f aca="false">W3-W2</f>
        <v>109</v>
      </c>
      <c r="E2" s="12" t="n">
        <v>0</v>
      </c>
      <c r="F2" s="19" t="n">
        <f aca="false">X3-X2</f>
        <v>307</v>
      </c>
      <c r="G2" s="12" t="n">
        <v>0</v>
      </c>
      <c r="H2" s="19" t="n">
        <f aca="false">Y3-Y2</f>
        <v>12</v>
      </c>
      <c r="I2" s="12" t="n">
        <v>0</v>
      </c>
      <c r="J2" s="19" t="n">
        <f aca="false">Z3-Z2</f>
        <v>2</v>
      </c>
      <c r="K2" s="12" t="n">
        <v>0</v>
      </c>
      <c r="L2" s="19" t="n">
        <f aca="false">AA3-AA2</f>
        <v>0</v>
      </c>
      <c r="M2" s="12" t="n">
        <v>0</v>
      </c>
      <c r="N2" s="19" t="n">
        <f aca="false">AB3-AB2</f>
        <v>10</v>
      </c>
      <c r="O2" s="12" t="n">
        <v>0</v>
      </c>
      <c r="P2" s="19" t="n">
        <f aca="false">AC3-AC2</f>
        <v>2</v>
      </c>
      <c r="Q2" s="12" t="n">
        <v>0</v>
      </c>
      <c r="R2" s="12" t="n">
        <v>0</v>
      </c>
      <c r="S2" s="19" t="n">
        <f aca="false">AD3-AD2</f>
        <v>9</v>
      </c>
      <c r="T2" s="12"/>
      <c r="U2" s="11"/>
      <c r="V2" s="14" t="n">
        <v>0</v>
      </c>
      <c r="W2" s="21" t="n">
        <v>14669</v>
      </c>
      <c r="X2" s="21" t="n">
        <v>18387</v>
      </c>
      <c r="Y2" s="21" t="n">
        <v>9911</v>
      </c>
      <c r="Z2" s="21" t="n">
        <v>10902</v>
      </c>
      <c r="AA2" s="21" t="n">
        <v>1300</v>
      </c>
      <c r="AB2" s="21" t="n">
        <v>4380</v>
      </c>
      <c r="AC2" s="21" t="n">
        <v>446</v>
      </c>
      <c r="AD2" s="21" t="n">
        <v>3933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</row>
    <row r="3" customFormat="false" ht="15.75" hidden="false" customHeight="false" outlineLevel="0" collapsed="false">
      <c r="A3" s="4" t="n">
        <v>45963</v>
      </c>
      <c r="B3" s="12" t="n">
        <v>0</v>
      </c>
      <c r="C3" s="12" t="n">
        <v>0</v>
      </c>
      <c r="D3" s="19" t="n">
        <f aca="false">W4-W3</f>
        <v>26</v>
      </c>
      <c r="E3" s="12" t="n">
        <v>0</v>
      </c>
      <c r="F3" s="19" t="n">
        <f aca="false">X4-X3</f>
        <v>66</v>
      </c>
      <c r="G3" s="12" t="n">
        <v>0</v>
      </c>
      <c r="H3" s="19" t="n">
        <f aca="false">Y4-Y3</f>
        <v>5</v>
      </c>
      <c r="I3" s="12" t="n">
        <v>0</v>
      </c>
      <c r="J3" s="19" t="n">
        <f aca="false">Z4-Z3</f>
        <v>0</v>
      </c>
      <c r="K3" s="12" t="n">
        <v>0</v>
      </c>
      <c r="L3" s="19" t="n">
        <f aca="false">AA4-AA3</f>
        <v>0</v>
      </c>
      <c r="M3" s="12" t="n">
        <v>0</v>
      </c>
      <c r="N3" s="19" t="n">
        <f aca="false">AB4-AB3</f>
        <v>3</v>
      </c>
      <c r="O3" s="12" t="n">
        <v>0</v>
      </c>
      <c r="P3" s="19" t="n">
        <f aca="false">AC4-AC3</f>
        <v>1</v>
      </c>
      <c r="Q3" s="12" t="n">
        <v>0</v>
      </c>
      <c r="R3" s="12" t="n">
        <v>0</v>
      </c>
      <c r="S3" s="19" t="n">
        <f aca="false">AD4-AD3</f>
        <v>2</v>
      </c>
      <c r="T3" s="12"/>
      <c r="U3" s="11"/>
      <c r="V3" s="18" t="n">
        <v>1</v>
      </c>
      <c r="W3" s="19" t="n">
        <v>14778</v>
      </c>
      <c r="X3" s="19" t="n">
        <v>18694</v>
      </c>
      <c r="Y3" s="19" t="n">
        <v>9923</v>
      </c>
      <c r="Z3" s="19" t="n">
        <v>10904</v>
      </c>
      <c r="AA3" s="19" t="n">
        <v>1300</v>
      </c>
      <c r="AB3" s="19" t="n">
        <v>4390</v>
      </c>
      <c r="AC3" s="19" t="n">
        <v>448</v>
      </c>
      <c r="AD3" s="19" t="n">
        <v>3942</v>
      </c>
    </row>
    <row r="4" customFormat="false" ht="15.75" hidden="false" customHeight="false" outlineLevel="0" collapsed="false">
      <c r="A4" s="4" t="n">
        <v>45964</v>
      </c>
      <c r="B4" s="12" t="n">
        <v>0</v>
      </c>
      <c r="C4" s="12" t="n">
        <v>0</v>
      </c>
      <c r="D4" s="19" t="n">
        <f aca="false">W5-W4</f>
        <v>11</v>
      </c>
      <c r="E4" s="12" t="n">
        <v>0</v>
      </c>
      <c r="F4" s="19" t="n">
        <f aca="false">X5-X4</f>
        <v>119</v>
      </c>
      <c r="G4" s="12" t="n">
        <v>0</v>
      </c>
      <c r="H4" s="19" t="n">
        <f aca="false">Y5-Y4</f>
        <v>0</v>
      </c>
      <c r="I4" s="12" t="n">
        <v>0</v>
      </c>
      <c r="J4" s="19" t="n">
        <f aca="false">Z5-Z4</f>
        <v>1</v>
      </c>
      <c r="K4" s="12" t="n">
        <v>0</v>
      </c>
      <c r="L4" s="19" t="n">
        <f aca="false">AA5-AA4</f>
        <v>0</v>
      </c>
      <c r="M4" s="12" t="n">
        <v>0</v>
      </c>
      <c r="N4" s="19" t="n">
        <f aca="false">AB5-AB4</f>
        <v>8</v>
      </c>
      <c r="O4" s="12" t="n">
        <v>0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9</v>
      </c>
      <c r="T4" s="12"/>
      <c r="U4" s="11"/>
      <c r="V4" s="20" t="n">
        <f aca="false">V3+1</f>
        <v>2</v>
      </c>
      <c r="W4" s="12" t="n">
        <v>14804</v>
      </c>
      <c r="X4" s="12" t="n">
        <v>18760</v>
      </c>
      <c r="Y4" s="12" t="n">
        <v>9928</v>
      </c>
      <c r="Z4" s="12" t="n">
        <v>10904</v>
      </c>
      <c r="AA4" s="12" t="n">
        <v>1300</v>
      </c>
      <c r="AB4" s="12" t="n">
        <v>4393</v>
      </c>
      <c r="AC4" s="12" t="n">
        <v>449</v>
      </c>
      <c r="AD4" s="12" t="n">
        <v>3944</v>
      </c>
    </row>
    <row r="5" customFormat="false" ht="15.75" hidden="false" customHeight="false" outlineLevel="0" collapsed="false">
      <c r="A5" s="4" t="n">
        <v>45965</v>
      </c>
      <c r="B5" s="12" t="n">
        <v>0</v>
      </c>
      <c r="C5" s="12" t="n">
        <v>0</v>
      </c>
      <c r="D5" s="19" t="n">
        <f aca="false">W6-W5</f>
        <v>74</v>
      </c>
      <c r="E5" s="12" t="n">
        <v>0</v>
      </c>
      <c r="F5" s="19" t="n">
        <f aca="false">X6-X5</f>
        <v>126</v>
      </c>
      <c r="G5" s="12" t="n">
        <v>0</v>
      </c>
      <c r="H5" s="19" t="n">
        <f aca="false">Y6-Y5</f>
        <v>9</v>
      </c>
      <c r="I5" s="12" t="n">
        <v>0</v>
      </c>
      <c r="J5" s="19" t="n">
        <f aca="false">Z6-Z5</f>
        <v>1</v>
      </c>
      <c r="K5" s="12" t="n">
        <v>0</v>
      </c>
      <c r="L5" s="19" t="n">
        <f aca="false">AA6-AA5</f>
        <v>0</v>
      </c>
      <c r="M5" s="12" t="n">
        <v>0</v>
      </c>
      <c r="N5" s="19" t="n">
        <f aca="false">AB6-AB5</f>
        <v>4</v>
      </c>
      <c r="O5" s="12" t="n">
        <v>0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3</v>
      </c>
      <c r="T5" s="12"/>
      <c r="U5" s="11"/>
      <c r="V5" s="20" t="n">
        <f aca="false">V4+1</f>
        <v>3</v>
      </c>
      <c r="W5" s="12" t="n">
        <v>14815</v>
      </c>
      <c r="X5" s="12" t="n">
        <v>18879</v>
      </c>
      <c r="Y5" s="12" t="n">
        <v>9928</v>
      </c>
      <c r="Z5" s="12" t="n">
        <v>10905</v>
      </c>
      <c r="AA5" s="12" t="n">
        <v>1300</v>
      </c>
      <c r="AB5" s="12" t="n">
        <v>4401</v>
      </c>
      <c r="AC5" s="12" t="n">
        <v>449</v>
      </c>
      <c r="AD5" s="12" t="n">
        <v>3953</v>
      </c>
    </row>
    <row r="6" customFormat="false" ht="15.75" hidden="false" customHeight="false" outlineLevel="0" collapsed="false">
      <c r="A6" s="4" t="n">
        <v>45966</v>
      </c>
      <c r="B6" s="12" t="n">
        <v>0</v>
      </c>
      <c r="C6" s="12" t="n">
        <v>0</v>
      </c>
      <c r="D6" s="19" t="n">
        <f aca="false">W7-W6</f>
        <v>98</v>
      </c>
      <c r="E6" s="12" t="n">
        <v>0</v>
      </c>
      <c r="F6" s="19" t="n">
        <f aca="false">X7-X6</f>
        <v>149</v>
      </c>
      <c r="G6" s="12" t="n">
        <v>0</v>
      </c>
      <c r="H6" s="19" t="n">
        <f aca="false">Y7-Y6</f>
        <v>3</v>
      </c>
      <c r="I6" s="12" t="n">
        <v>0</v>
      </c>
      <c r="J6" s="19" t="n">
        <f aca="false">Z7-Z6</f>
        <v>1</v>
      </c>
      <c r="K6" s="12" t="n">
        <v>0</v>
      </c>
      <c r="L6" s="19" t="n">
        <f aca="false">AA7-AA6</f>
        <v>0</v>
      </c>
      <c r="M6" s="12" t="n">
        <v>0</v>
      </c>
      <c r="N6" s="19" t="n">
        <f aca="false">AB7-AB6</f>
        <v>2</v>
      </c>
      <c r="O6" s="12" t="n">
        <v>0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5</v>
      </c>
      <c r="T6" s="12"/>
      <c r="U6" s="11"/>
      <c r="V6" s="20" t="n">
        <f aca="false">V5+1</f>
        <v>4</v>
      </c>
      <c r="W6" s="12" t="n">
        <v>14889</v>
      </c>
      <c r="X6" s="12" t="n">
        <v>19005</v>
      </c>
      <c r="Y6" s="12" t="n">
        <v>9937</v>
      </c>
      <c r="Z6" s="12" t="n">
        <v>10906</v>
      </c>
      <c r="AA6" s="12" t="n">
        <v>1300</v>
      </c>
      <c r="AB6" s="12" t="n">
        <v>4405</v>
      </c>
      <c r="AC6" s="12" t="n">
        <v>449</v>
      </c>
      <c r="AD6" s="12" t="n">
        <v>3956</v>
      </c>
    </row>
    <row r="7" customFormat="false" ht="15.75" hidden="false" customHeight="false" outlineLevel="0" collapsed="false">
      <c r="A7" s="4" t="n">
        <v>45967</v>
      </c>
      <c r="B7" s="12" t="n">
        <v>0</v>
      </c>
      <c r="C7" s="12" t="n">
        <v>0</v>
      </c>
      <c r="D7" s="19" t="n">
        <f aca="false">W8-W7</f>
        <v>123</v>
      </c>
      <c r="E7" s="12" t="n">
        <v>0</v>
      </c>
      <c r="F7" s="19" t="n">
        <f aca="false">X8-X7</f>
        <v>171</v>
      </c>
      <c r="G7" s="12" t="n">
        <v>0</v>
      </c>
      <c r="H7" s="19" t="n">
        <f aca="false">Y8-Y7</f>
        <v>3</v>
      </c>
      <c r="I7" s="12" t="n">
        <v>0</v>
      </c>
      <c r="J7" s="19" t="n">
        <f aca="false">Z8-Z7</f>
        <v>-1</v>
      </c>
      <c r="K7" s="12" t="n">
        <v>0</v>
      </c>
      <c r="L7" s="19" t="n">
        <f aca="false">AA8-AA7</f>
        <v>0</v>
      </c>
      <c r="M7" s="12" t="n">
        <v>0</v>
      </c>
      <c r="N7" s="19" t="n">
        <f aca="false">AB8-AB7</f>
        <v>9</v>
      </c>
      <c r="O7" s="12" t="n">
        <v>0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5</v>
      </c>
      <c r="T7" s="12"/>
      <c r="U7" s="11"/>
      <c r="V7" s="20" t="n">
        <f aca="false">V6+1</f>
        <v>5</v>
      </c>
      <c r="W7" s="12" t="n">
        <v>14987</v>
      </c>
      <c r="X7" s="12" t="n">
        <v>19154</v>
      </c>
      <c r="Y7" s="12" t="n">
        <v>9940</v>
      </c>
      <c r="Z7" s="12" t="n">
        <v>10907</v>
      </c>
      <c r="AA7" s="12" t="n">
        <v>1300</v>
      </c>
      <c r="AB7" s="12" t="n">
        <v>4407</v>
      </c>
      <c r="AC7" s="12" t="n">
        <v>450</v>
      </c>
      <c r="AD7" s="12" t="n">
        <v>3961</v>
      </c>
    </row>
    <row r="8" customFormat="false" ht="15.75" hidden="false" customHeight="false" outlineLevel="0" collapsed="false">
      <c r="A8" s="4" t="n">
        <v>45968</v>
      </c>
      <c r="B8" s="12" t="n">
        <v>0</v>
      </c>
      <c r="C8" s="12" t="n">
        <v>0</v>
      </c>
      <c r="D8" s="19" t="n">
        <f aca="false">W9-W8</f>
        <v>165</v>
      </c>
      <c r="E8" s="12" t="n">
        <v>0</v>
      </c>
      <c r="F8" s="19" t="n">
        <f aca="false">X9-X8</f>
        <v>187</v>
      </c>
      <c r="G8" s="12" t="n">
        <v>0</v>
      </c>
      <c r="H8" s="19" t="n">
        <f aca="false">Y9-Y8</f>
        <v>8</v>
      </c>
      <c r="I8" s="12" t="n">
        <v>0</v>
      </c>
      <c r="J8" s="19" t="n">
        <f aca="false">Z9-Z8</f>
        <v>13</v>
      </c>
      <c r="K8" s="12" t="n">
        <v>0</v>
      </c>
      <c r="L8" s="19" t="n">
        <f aca="false">AA9-AA8</f>
        <v>1</v>
      </c>
      <c r="M8" s="12" t="n">
        <v>0</v>
      </c>
      <c r="N8" s="19" t="n">
        <f aca="false">AB9-AB8</f>
        <v>7</v>
      </c>
      <c r="O8" s="12" t="n">
        <v>0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6</v>
      </c>
      <c r="T8" s="12"/>
      <c r="U8" s="11"/>
      <c r="V8" s="20" t="n">
        <f aca="false">V7+1</f>
        <v>6</v>
      </c>
      <c r="W8" s="12" t="n">
        <v>15110</v>
      </c>
      <c r="X8" s="12" t="n">
        <v>19325</v>
      </c>
      <c r="Y8" s="12" t="n">
        <v>9943</v>
      </c>
      <c r="Z8" s="12" t="n">
        <v>10906</v>
      </c>
      <c r="AA8" s="12" t="n">
        <v>1300</v>
      </c>
      <c r="AB8" s="12" t="n">
        <v>4416</v>
      </c>
      <c r="AC8" s="12" t="n">
        <v>450</v>
      </c>
      <c r="AD8" s="12" t="n">
        <v>3966</v>
      </c>
    </row>
    <row r="9" customFormat="false" ht="15.75" hidden="false" customHeight="false" outlineLevel="0" collapsed="false">
      <c r="A9" s="4" t="n">
        <v>45969</v>
      </c>
      <c r="B9" s="12" t="n">
        <v>0</v>
      </c>
      <c r="C9" s="12" t="n">
        <v>0</v>
      </c>
      <c r="D9" s="19" t="n">
        <f aca="false">W10-W9</f>
        <v>0</v>
      </c>
      <c r="E9" s="12" t="n">
        <v>0</v>
      </c>
      <c r="F9" s="19" t="n">
        <f aca="false">X10-X9</f>
        <v>0</v>
      </c>
      <c r="G9" s="12" t="n">
        <v>0</v>
      </c>
      <c r="H9" s="19" t="n">
        <f aca="false">Y10-Y9</f>
        <v>0</v>
      </c>
      <c r="I9" s="12" t="n">
        <v>0</v>
      </c>
      <c r="J9" s="19" t="n">
        <f aca="false">Z10-Z9</f>
        <v>0</v>
      </c>
      <c r="K9" s="12" t="n">
        <v>0</v>
      </c>
      <c r="L9" s="19" t="n">
        <f aca="false">AA10-AA9</f>
        <v>0</v>
      </c>
      <c r="M9" s="12" t="n">
        <v>0</v>
      </c>
      <c r="N9" s="19" t="n">
        <f aca="false">AB10-AB9</f>
        <v>0</v>
      </c>
      <c r="O9" s="12" t="n">
        <v>0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0</v>
      </c>
      <c r="T9" s="12"/>
      <c r="U9" s="11"/>
      <c r="V9" s="20" t="n">
        <f aca="false">V8+1</f>
        <v>7</v>
      </c>
      <c r="W9" s="12" t="n">
        <v>15275</v>
      </c>
      <c r="X9" s="12" t="n">
        <v>19512</v>
      </c>
      <c r="Y9" s="12" t="n">
        <v>9951</v>
      </c>
      <c r="Z9" s="12" t="n">
        <v>10919</v>
      </c>
      <c r="AA9" s="12" t="n">
        <v>1301</v>
      </c>
      <c r="AB9" s="12" t="n">
        <v>4423</v>
      </c>
      <c r="AC9" s="12" t="n">
        <v>451</v>
      </c>
      <c r="AD9" s="12" t="n">
        <v>3972</v>
      </c>
    </row>
    <row r="10" customFormat="false" ht="15.75" hidden="false" customHeight="false" outlineLevel="0" collapsed="false">
      <c r="A10" s="4" t="n">
        <v>45970</v>
      </c>
      <c r="B10" s="12" t="n">
        <v>0</v>
      </c>
      <c r="C10" s="12" t="n">
        <v>0</v>
      </c>
      <c r="D10" s="19" t="n">
        <f aca="false">W11-W10</f>
        <v>29</v>
      </c>
      <c r="E10" s="12" t="n">
        <v>0</v>
      </c>
      <c r="F10" s="19" t="n">
        <f aca="false">X11-X10</f>
        <v>84</v>
      </c>
      <c r="G10" s="12" t="n">
        <v>0</v>
      </c>
      <c r="H10" s="19" t="n">
        <f aca="false">Y11-Y10</f>
        <v>3</v>
      </c>
      <c r="I10" s="12" t="n">
        <v>0</v>
      </c>
      <c r="J10" s="19" t="n">
        <f aca="false">Z11-Z10</f>
        <v>0</v>
      </c>
      <c r="K10" s="12" t="n">
        <v>0</v>
      </c>
      <c r="L10" s="19" t="n">
        <f aca="false">AA11-AA10</f>
        <v>0</v>
      </c>
      <c r="M10" s="12" t="n">
        <v>0</v>
      </c>
      <c r="N10" s="19" t="n">
        <f aca="false">AB11-AB10</f>
        <v>9</v>
      </c>
      <c r="O10" s="12" t="n">
        <v>0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8</v>
      </c>
      <c r="T10" s="12"/>
      <c r="U10" s="11"/>
      <c r="V10" s="20" t="n">
        <f aca="false">V9+1</f>
        <v>8</v>
      </c>
      <c r="W10" s="12" t="n">
        <v>15275</v>
      </c>
      <c r="X10" s="12" t="n">
        <v>19512</v>
      </c>
      <c r="Y10" s="12" t="n">
        <v>9951</v>
      </c>
      <c r="Z10" s="12" t="n">
        <v>10919</v>
      </c>
      <c r="AA10" s="12" t="n">
        <v>1301</v>
      </c>
      <c r="AB10" s="12" t="n">
        <v>4423</v>
      </c>
      <c r="AC10" s="12" t="n">
        <v>451</v>
      </c>
      <c r="AD10" s="12" t="n">
        <v>3972</v>
      </c>
    </row>
    <row r="11" customFormat="false" ht="15.75" hidden="false" customHeight="false" outlineLevel="0" collapsed="false">
      <c r="A11" s="4" t="n">
        <v>45971</v>
      </c>
      <c r="B11" s="12" t="n">
        <v>0</v>
      </c>
      <c r="C11" s="12" t="n">
        <v>0</v>
      </c>
      <c r="D11" s="19" t="n">
        <f aca="false">W12-W11</f>
        <v>0</v>
      </c>
      <c r="E11" s="12" t="n">
        <v>0</v>
      </c>
      <c r="F11" s="19" t="n">
        <f aca="false">X12-X11</f>
        <v>0</v>
      </c>
      <c r="G11" s="12" t="n">
        <v>0</v>
      </c>
      <c r="H11" s="19" t="n">
        <f aca="false">Y12-Y11</f>
        <v>5</v>
      </c>
      <c r="I11" s="12" t="n">
        <v>0</v>
      </c>
      <c r="J11" s="19" t="n">
        <f aca="false">Z12-Z11</f>
        <v>1</v>
      </c>
      <c r="K11" s="12" t="n">
        <v>0</v>
      </c>
      <c r="L11" s="19" t="n">
        <f aca="false">AA12-AA11</f>
        <v>0</v>
      </c>
      <c r="M11" s="12" t="n">
        <v>0</v>
      </c>
      <c r="N11" s="19" t="n">
        <f aca="false">AB12-AB11</f>
        <v>5</v>
      </c>
      <c r="O11" s="12" t="n">
        <v>0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4</v>
      </c>
      <c r="T11" s="12"/>
      <c r="U11" s="11"/>
      <c r="V11" s="20" t="n">
        <f aca="false">V10+1</f>
        <v>9</v>
      </c>
      <c r="W11" s="12" t="n">
        <v>15304</v>
      </c>
      <c r="X11" s="12" t="n">
        <v>19596</v>
      </c>
      <c r="Y11" s="12" t="n">
        <v>9954</v>
      </c>
      <c r="Z11" s="12" t="n">
        <v>10919</v>
      </c>
      <c r="AA11" s="12" t="n">
        <v>1301</v>
      </c>
      <c r="AB11" s="12" t="n">
        <v>4432</v>
      </c>
      <c r="AC11" s="12" t="n">
        <v>452</v>
      </c>
      <c r="AD11" s="12" t="n">
        <v>3980</v>
      </c>
    </row>
    <row r="12" customFormat="false" ht="15.75" hidden="false" customHeight="false" outlineLevel="0" collapsed="false">
      <c r="A12" s="4" t="n">
        <v>45972</v>
      </c>
      <c r="B12" s="12" t="n">
        <v>0</v>
      </c>
      <c r="C12" s="12" t="n">
        <v>0</v>
      </c>
      <c r="D12" s="19" t="n">
        <f aca="false">W13-W12</f>
        <v>111</v>
      </c>
      <c r="E12" s="12" t="n">
        <v>0</v>
      </c>
      <c r="F12" s="19" t="n">
        <f aca="false">X13-X12</f>
        <v>200</v>
      </c>
      <c r="G12" s="12" t="n">
        <v>0</v>
      </c>
      <c r="H12" s="19" t="n">
        <f aca="false">Y13-Y12</f>
        <v>7</v>
      </c>
      <c r="I12" s="12" t="n">
        <v>0</v>
      </c>
      <c r="J12" s="19" t="n">
        <f aca="false">Z13-Z12</f>
        <v>1</v>
      </c>
      <c r="K12" s="12" t="n">
        <v>0</v>
      </c>
      <c r="L12" s="19" t="n">
        <f aca="false">AA13-AA12</f>
        <v>0</v>
      </c>
      <c r="M12" s="12" t="n">
        <v>0</v>
      </c>
      <c r="N12" s="19" t="n">
        <f aca="false">AB13-AB12</f>
        <v>3</v>
      </c>
      <c r="O12" s="12" t="n">
        <v>0</v>
      </c>
      <c r="P12" s="19" t="n">
        <f aca="false">AC13-AC12</f>
        <v>1</v>
      </c>
      <c r="Q12" s="12" t="n">
        <v>0</v>
      </c>
      <c r="R12" s="12" t="n">
        <v>0</v>
      </c>
      <c r="S12" s="19" t="n">
        <f aca="false">AD13-AD12</f>
        <v>3</v>
      </c>
      <c r="T12" s="12"/>
      <c r="U12" s="11"/>
      <c r="V12" s="20" t="n">
        <f aca="false">V11+1</f>
        <v>10</v>
      </c>
      <c r="W12" s="12" t="n">
        <v>15304</v>
      </c>
      <c r="X12" s="12" t="n">
        <v>19596</v>
      </c>
      <c r="Y12" s="12" t="n">
        <v>9959</v>
      </c>
      <c r="Z12" s="12" t="n">
        <v>10920</v>
      </c>
      <c r="AA12" s="12" t="n">
        <v>1301</v>
      </c>
      <c r="AB12" s="12" t="n">
        <v>4437</v>
      </c>
      <c r="AC12" s="12" t="n">
        <v>452</v>
      </c>
      <c r="AD12" s="12" t="n">
        <v>3984</v>
      </c>
    </row>
    <row r="13" customFormat="false" ht="15.75" hidden="false" customHeight="false" outlineLevel="0" collapsed="false">
      <c r="A13" s="4" t="n">
        <v>45973</v>
      </c>
      <c r="B13" s="12" t="n">
        <v>0</v>
      </c>
      <c r="C13" s="12" t="n">
        <v>0</v>
      </c>
      <c r="D13" s="19" t="n">
        <f aca="false">W14-W13</f>
        <v>124</v>
      </c>
      <c r="E13" s="12" t="n">
        <v>0</v>
      </c>
      <c r="F13" s="19" t="n">
        <f aca="false">X14-X13</f>
        <v>36</v>
      </c>
      <c r="G13" s="12" t="n">
        <v>0</v>
      </c>
      <c r="H13" s="19" t="n">
        <f aca="false">Y14-Y13</f>
        <v>5</v>
      </c>
      <c r="I13" s="12" t="n">
        <v>0</v>
      </c>
      <c r="J13" s="19" t="n">
        <f aca="false">Z14-Z13</f>
        <v>-8</v>
      </c>
      <c r="K13" s="12" t="n">
        <v>0</v>
      </c>
      <c r="L13" s="19" t="n">
        <f aca="false">AA14-AA13</f>
        <v>1</v>
      </c>
      <c r="M13" s="12" t="n">
        <v>0</v>
      </c>
      <c r="N13" s="19" t="n">
        <f aca="false">AB14-AB13</f>
        <v>7</v>
      </c>
      <c r="O13" s="12" t="n">
        <v>0</v>
      </c>
      <c r="P13" s="19" t="n">
        <f aca="false">AC14-AC13</f>
        <v>0</v>
      </c>
      <c r="Q13" s="12" t="n">
        <v>0</v>
      </c>
      <c r="R13" s="12" t="n">
        <v>0</v>
      </c>
      <c r="S13" s="19" t="n">
        <f aca="false">AD14-AD13</f>
        <v>0</v>
      </c>
      <c r="T13" s="12"/>
      <c r="U13" s="11"/>
      <c r="V13" s="20" t="n">
        <f aca="false">V12+1</f>
        <v>11</v>
      </c>
      <c r="W13" s="21" t="n">
        <v>15415</v>
      </c>
      <c r="X13" s="21" t="n">
        <v>19796</v>
      </c>
      <c r="Y13" s="21" t="n">
        <v>9966</v>
      </c>
      <c r="Z13" s="21" t="n">
        <v>10921</v>
      </c>
      <c r="AA13" s="21" t="n">
        <v>1301</v>
      </c>
      <c r="AB13" s="21" t="n">
        <v>4440</v>
      </c>
      <c r="AC13" s="21" t="n">
        <v>453</v>
      </c>
      <c r="AD13" s="21" t="n">
        <v>3987</v>
      </c>
    </row>
    <row r="14" customFormat="false" ht="15.75" hidden="false" customHeight="false" outlineLevel="0" collapsed="false">
      <c r="A14" s="4" t="n">
        <v>45974</v>
      </c>
      <c r="B14" s="12" t="n">
        <v>0</v>
      </c>
      <c r="C14" s="12" t="n">
        <v>0</v>
      </c>
      <c r="D14" s="19" t="n">
        <f aca="false">W15-W14</f>
        <v>93</v>
      </c>
      <c r="E14" s="12" t="n">
        <v>0</v>
      </c>
      <c r="F14" s="19" t="n">
        <f aca="false">X15-X14</f>
        <v>112</v>
      </c>
      <c r="G14" s="12" t="n">
        <v>0</v>
      </c>
      <c r="H14" s="19" t="n">
        <f aca="false">Y15-Y14</f>
        <v>4</v>
      </c>
      <c r="I14" s="12" t="n">
        <v>0</v>
      </c>
      <c r="J14" s="19" t="n">
        <f aca="false">Z15-Z14</f>
        <v>1</v>
      </c>
      <c r="K14" s="12" t="n">
        <v>0</v>
      </c>
      <c r="L14" s="19" t="n">
        <f aca="false">AA15-AA14</f>
        <v>0</v>
      </c>
      <c r="M14" s="12" t="n">
        <v>0</v>
      </c>
      <c r="N14" s="19" t="n">
        <f aca="false">AB15-AB14</f>
        <v>2</v>
      </c>
      <c r="O14" s="12" t="n">
        <v>0</v>
      </c>
      <c r="P14" s="19" t="n">
        <f aca="false">AC15-AC14</f>
        <v>1</v>
      </c>
      <c r="Q14" s="12" t="n">
        <v>0</v>
      </c>
      <c r="R14" s="12" t="n">
        <v>0</v>
      </c>
      <c r="S14" s="19" t="n">
        <f aca="false">AD15-AD14</f>
        <v>8</v>
      </c>
      <c r="T14" s="12"/>
      <c r="U14" s="11"/>
      <c r="V14" s="20" t="n">
        <f aca="false">V13+1</f>
        <v>12</v>
      </c>
      <c r="W14" s="12" t="n">
        <v>15539</v>
      </c>
      <c r="X14" s="12" t="n">
        <v>19832</v>
      </c>
      <c r="Y14" s="12" t="n">
        <v>9971</v>
      </c>
      <c r="Z14" s="12" t="n">
        <v>10913</v>
      </c>
      <c r="AA14" s="12" t="n">
        <v>1302</v>
      </c>
      <c r="AB14" s="12" t="n">
        <v>4447</v>
      </c>
      <c r="AC14" s="12" t="n">
        <v>453</v>
      </c>
      <c r="AD14" s="12" t="n">
        <v>3987</v>
      </c>
    </row>
    <row r="15" customFormat="false" ht="15.75" hidden="false" customHeight="false" outlineLevel="0" collapsed="false">
      <c r="A15" s="4" t="n">
        <v>45975</v>
      </c>
      <c r="B15" s="12" t="n">
        <v>0</v>
      </c>
      <c r="C15" s="12" t="n">
        <v>0</v>
      </c>
      <c r="D15" s="19" t="n">
        <f aca="false">W16-W15</f>
        <v>115</v>
      </c>
      <c r="E15" s="12" t="n">
        <v>0</v>
      </c>
      <c r="F15" s="19" t="n">
        <f aca="false">X16-X15</f>
        <v>150</v>
      </c>
      <c r="G15" s="12" t="n">
        <v>0</v>
      </c>
      <c r="H15" s="19" t="n">
        <f aca="false">Y16-Y15</f>
        <v>-4</v>
      </c>
      <c r="I15" s="12" t="n">
        <v>0</v>
      </c>
      <c r="J15" s="19" t="n">
        <v>1</v>
      </c>
      <c r="K15" s="12" t="n">
        <v>0</v>
      </c>
      <c r="L15" s="19" t="n">
        <f aca="false">AA16-AA15</f>
        <v>0</v>
      </c>
      <c r="M15" s="12" t="n">
        <v>0</v>
      </c>
      <c r="N15" s="19" t="n">
        <f aca="false">AB16-AB15</f>
        <v>5</v>
      </c>
      <c r="O15" s="12" t="n">
        <v>0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4</v>
      </c>
      <c r="T15" s="12"/>
      <c r="U15" s="11"/>
      <c r="V15" s="20" t="n">
        <f aca="false">V14+1</f>
        <v>13</v>
      </c>
      <c r="W15" s="12" t="n">
        <v>15632</v>
      </c>
      <c r="X15" s="12" t="n">
        <v>19944</v>
      </c>
      <c r="Y15" s="12" t="n">
        <v>9975</v>
      </c>
      <c r="Z15" s="12" t="n">
        <v>10914</v>
      </c>
      <c r="AA15" s="12" t="n">
        <v>1302</v>
      </c>
      <c r="AB15" s="12" t="n">
        <v>4449</v>
      </c>
      <c r="AC15" s="12" t="n">
        <v>454</v>
      </c>
      <c r="AD15" s="12" t="n">
        <v>3995</v>
      </c>
    </row>
    <row r="16" customFormat="false" ht="15.75" hidden="false" customHeight="false" outlineLevel="0" collapsed="false">
      <c r="A16" s="4" t="n">
        <v>45976</v>
      </c>
      <c r="B16" s="12" t="n">
        <v>0</v>
      </c>
      <c r="C16" s="12" t="n">
        <v>0</v>
      </c>
      <c r="D16" s="19" t="n">
        <f aca="false">W17-W16</f>
        <v>0</v>
      </c>
      <c r="E16" s="12" t="n">
        <v>0</v>
      </c>
      <c r="F16" s="19" t="n">
        <f aca="false">X17-X16</f>
        <v>0</v>
      </c>
      <c r="G16" s="12" t="n">
        <v>0</v>
      </c>
      <c r="H16" s="19" t="n">
        <f aca="false">Y17-Y16</f>
        <v>0</v>
      </c>
      <c r="I16" s="12" t="n">
        <v>0</v>
      </c>
      <c r="J16" s="19" t="n">
        <f aca="false">Z17-Z16</f>
        <v>0</v>
      </c>
      <c r="K16" s="12" t="n">
        <v>0</v>
      </c>
      <c r="L16" s="19" t="n">
        <f aca="false">AA17-AA16</f>
        <v>0</v>
      </c>
      <c r="M16" s="12" t="n">
        <v>0</v>
      </c>
      <c r="N16" s="19" t="n">
        <f aca="false">AB17-AB16</f>
        <v>0</v>
      </c>
      <c r="O16" s="12" t="n">
        <v>0</v>
      </c>
      <c r="P16" s="19" t="n">
        <f aca="false">AC17-AC16</f>
        <v>0</v>
      </c>
      <c r="Q16" s="12" t="n">
        <v>0</v>
      </c>
      <c r="R16" s="12" t="n">
        <v>0</v>
      </c>
      <c r="S16" s="19" t="n">
        <f aca="false">AD17-AD16</f>
        <v>0</v>
      </c>
      <c r="T16" s="12"/>
      <c r="U16" s="11"/>
      <c r="V16" s="20" t="n">
        <f aca="false">V15+1</f>
        <v>14</v>
      </c>
      <c r="W16" s="22" t="n">
        <v>15747</v>
      </c>
      <c r="X16" s="22" t="n">
        <v>20094</v>
      </c>
      <c r="Y16" s="22" t="n">
        <v>9971</v>
      </c>
      <c r="Z16" s="22" t="n">
        <v>10914</v>
      </c>
      <c r="AA16" s="22" t="n">
        <v>1302</v>
      </c>
      <c r="AB16" s="22" t="n">
        <v>4454</v>
      </c>
      <c r="AC16" s="22" t="n">
        <v>454</v>
      </c>
      <c r="AD16" s="22" t="n">
        <v>3999</v>
      </c>
    </row>
    <row r="17" customFormat="false" ht="15.75" hidden="false" customHeight="false" outlineLevel="0" collapsed="false">
      <c r="A17" s="4" t="n">
        <v>45977</v>
      </c>
      <c r="B17" s="12" t="n">
        <v>0</v>
      </c>
      <c r="C17" s="12" t="n">
        <v>0</v>
      </c>
      <c r="D17" s="19" t="n">
        <f aca="false">W18-W17</f>
        <v>91</v>
      </c>
      <c r="E17" s="12" t="n">
        <v>0</v>
      </c>
      <c r="F17" s="19" t="n">
        <f aca="false">X18-X17</f>
        <v>264</v>
      </c>
      <c r="G17" s="12" t="n">
        <v>0</v>
      </c>
      <c r="H17" s="19" t="n">
        <f aca="false">Y18-Y17</f>
        <v>26</v>
      </c>
      <c r="I17" s="12" t="n">
        <v>0</v>
      </c>
      <c r="J17" s="19" t="n">
        <f aca="false">Z18-Z17</f>
        <v>14</v>
      </c>
      <c r="K17" s="12" t="n">
        <v>0</v>
      </c>
      <c r="L17" s="19" t="n">
        <f aca="false">AA18-AA17</f>
        <v>1</v>
      </c>
      <c r="M17" s="12" t="n">
        <v>0</v>
      </c>
      <c r="N17" s="19" t="n">
        <f aca="false">AB18-AB17</f>
        <v>14</v>
      </c>
      <c r="O17" s="12" t="n">
        <v>0</v>
      </c>
      <c r="P17" s="19" t="n">
        <f aca="false">AC18-AC17</f>
        <v>2</v>
      </c>
      <c r="Q17" s="12" t="n">
        <v>0</v>
      </c>
      <c r="R17" s="12" t="n">
        <v>0</v>
      </c>
      <c r="S17" s="19" t="n">
        <f aca="false">AD18-AD17</f>
        <v>13</v>
      </c>
      <c r="T17" s="12"/>
      <c r="U17" s="11"/>
      <c r="V17" s="20" t="n">
        <f aca="false">V16+1</f>
        <v>15</v>
      </c>
      <c r="W17" s="22" t="n">
        <v>15747</v>
      </c>
      <c r="X17" s="22" t="n">
        <v>20094</v>
      </c>
      <c r="Y17" s="22" t="n">
        <v>9971</v>
      </c>
      <c r="Z17" s="22" t="n">
        <v>10914</v>
      </c>
      <c r="AA17" s="22" t="n">
        <v>1302</v>
      </c>
      <c r="AB17" s="22" t="n">
        <v>4454</v>
      </c>
      <c r="AC17" s="22" t="n">
        <v>454</v>
      </c>
      <c r="AD17" s="22" t="n">
        <v>3999</v>
      </c>
    </row>
    <row r="18" customFormat="false" ht="15.75" hidden="false" customHeight="false" outlineLevel="0" collapsed="false">
      <c r="A18" s="4" t="n">
        <v>45978</v>
      </c>
      <c r="B18" s="12" t="n">
        <v>0</v>
      </c>
      <c r="C18" s="12" t="n">
        <v>0</v>
      </c>
      <c r="D18" s="19" t="n">
        <f aca="false">W19-W18</f>
        <v>31</v>
      </c>
      <c r="E18" s="12" t="n">
        <v>0</v>
      </c>
      <c r="F18" s="19" t="n">
        <f aca="false">X19-X18</f>
        <v>124</v>
      </c>
      <c r="G18" s="12" t="n">
        <v>0</v>
      </c>
      <c r="H18" s="19" t="n">
        <f aca="false">Y19-Y18</f>
        <v>2</v>
      </c>
      <c r="I18" s="12" t="n">
        <v>0</v>
      </c>
      <c r="J18" s="19" t="n">
        <f aca="false">Z19-Z18</f>
        <v>0</v>
      </c>
      <c r="K18" s="12" t="n">
        <v>0</v>
      </c>
      <c r="L18" s="19" t="n">
        <f aca="false">AA19-AA18</f>
        <v>0</v>
      </c>
      <c r="M18" s="12" t="n">
        <v>0</v>
      </c>
      <c r="N18" s="19" t="n">
        <f aca="false">AB19-AB18</f>
        <v>3</v>
      </c>
      <c r="O18" s="12" t="n">
        <v>0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3</v>
      </c>
      <c r="T18" s="12"/>
      <c r="U18" s="11"/>
      <c r="V18" s="20" t="n">
        <f aca="false">V17+1</f>
        <v>16</v>
      </c>
      <c r="W18" s="22" t="n">
        <v>15838</v>
      </c>
      <c r="X18" s="22" t="n">
        <v>20358</v>
      </c>
      <c r="Y18" s="22" t="n">
        <v>9997</v>
      </c>
      <c r="Z18" s="22" t="n">
        <v>10928</v>
      </c>
      <c r="AA18" s="22" t="n">
        <v>1303</v>
      </c>
      <c r="AB18" s="22" t="n">
        <v>4468</v>
      </c>
      <c r="AC18" s="22" t="n">
        <v>456</v>
      </c>
      <c r="AD18" s="22" t="n">
        <v>4012</v>
      </c>
    </row>
    <row r="19" customFormat="false" ht="15.75" hidden="false" customHeight="false" outlineLevel="0" collapsed="false">
      <c r="A19" s="4" t="n">
        <v>45979</v>
      </c>
      <c r="B19" s="12" t="n">
        <v>0</v>
      </c>
      <c r="C19" s="12" t="n">
        <v>0</v>
      </c>
      <c r="D19" s="19" t="n">
        <f aca="false">W20-W19</f>
        <v>-15869</v>
      </c>
      <c r="E19" s="12" t="n">
        <v>0</v>
      </c>
      <c r="F19" s="19" t="n">
        <f aca="false">X20-X19</f>
        <v>-20482</v>
      </c>
      <c r="G19" s="12" t="n">
        <v>0</v>
      </c>
      <c r="H19" s="19" t="n">
        <f aca="false">Y20-Y19</f>
        <v>-9999</v>
      </c>
      <c r="I19" s="12" t="n">
        <v>0</v>
      </c>
      <c r="J19" s="19" t="n">
        <f aca="false">Z20-Z19</f>
        <v>-10928</v>
      </c>
      <c r="K19" s="12" t="n">
        <v>0</v>
      </c>
      <c r="L19" s="19" t="n">
        <f aca="false">AA20-AA19</f>
        <v>-1303</v>
      </c>
      <c r="M19" s="12" t="n">
        <v>0</v>
      </c>
      <c r="N19" s="19" t="n">
        <f aca="false">AB20-AB19</f>
        <v>-4471</v>
      </c>
      <c r="O19" s="12" t="n">
        <v>0</v>
      </c>
      <c r="P19" s="19" t="n">
        <f aca="false">AC20-AC19</f>
        <v>-456</v>
      </c>
      <c r="Q19" s="12" t="n">
        <v>0</v>
      </c>
      <c r="R19" s="12" t="n">
        <v>0</v>
      </c>
      <c r="S19" s="19" t="n">
        <f aca="false">AD20-AD19</f>
        <v>-4015</v>
      </c>
      <c r="T19" s="12"/>
      <c r="U19" s="23"/>
      <c r="V19" s="24" t="n">
        <f aca="false">V18+1</f>
        <v>17</v>
      </c>
      <c r="W19" s="25" t="n">
        <v>15869</v>
      </c>
      <c r="X19" s="25" t="n">
        <v>20482</v>
      </c>
      <c r="Y19" s="25" t="n">
        <v>9999</v>
      </c>
      <c r="Z19" s="25" t="n">
        <v>10928</v>
      </c>
      <c r="AA19" s="25" t="n">
        <v>1303</v>
      </c>
      <c r="AB19" s="25" t="n">
        <v>4471</v>
      </c>
      <c r="AC19" s="25" t="n">
        <v>456</v>
      </c>
      <c r="AD19" s="25" t="n">
        <v>4015</v>
      </c>
    </row>
    <row r="20" customFormat="false" ht="15.75" hidden="false" customHeight="false" outlineLevel="0" collapsed="false">
      <c r="A20" s="4" t="n">
        <v>45980</v>
      </c>
      <c r="B20" s="12" t="n">
        <v>0</v>
      </c>
      <c r="C20" s="12" t="n">
        <v>0</v>
      </c>
      <c r="D20" s="19" t="n">
        <f aca="false">W21-W20</f>
        <v>0</v>
      </c>
      <c r="E20" s="12" t="n">
        <v>0</v>
      </c>
      <c r="F20" s="19" t="n">
        <f aca="false">X21-X20</f>
        <v>0</v>
      </c>
      <c r="G20" s="12" t="n">
        <v>0</v>
      </c>
      <c r="H20" s="19" t="n">
        <f aca="false">Y21-Y20</f>
        <v>0</v>
      </c>
      <c r="I20" s="12" t="n">
        <v>0</v>
      </c>
      <c r="J20" s="19" t="n">
        <f aca="false">Z21-Z20</f>
        <v>0</v>
      </c>
      <c r="K20" s="12" t="n">
        <v>0</v>
      </c>
      <c r="L20" s="19" t="n">
        <f aca="false">AA21-AA20</f>
        <v>0</v>
      </c>
      <c r="M20" s="12" t="n">
        <v>0</v>
      </c>
      <c r="N20" s="19" t="n">
        <f aca="false">AB21-AB20</f>
        <v>0</v>
      </c>
      <c r="O20" s="12" t="n">
        <v>0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" t="n">
        <v>45981</v>
      </c>
      <c r="B21" s="12" t="n">
        <v>0</v>
      </c>
      <c r="C21" s="12" t="n">
        <v>0</v>
      </c>
      <c r="D21" s="19" t="n">
        <f aca="false">W22-W21</f>
        <v>0</v>
      </c>
      <c r="E21" s="12" t="n">
        <v>0</v>
      </c>
      <c r="F21" s="19" t="n">
        <f aca="false">X22-X21</f>
        <v>0</v>
      </c>
      <c r="G21" s="12" t="n">
        <v>0</v>
      </c>
      <c r="H21" s="19" t="n">
        <f aca="false">Y22-Y21</f>
        <v>0</v>
      </c>
      <c r="I21" s="12" t="n">
        <v>0</v>
      </c>
      <c r="J21" s="19" t="n">
        <f aca="false">Z22-Z21</f>
        <v>0</v>
      </c>
      <c r="K21" s="12" t="n">
        <v>0</v>
      </c>
      <c r="L21" s="19" t="n">
        <f aca="false">AA22-AA21</f>
        <v>0</v>
      </c>
      <c r="M21" s="12" t="n">
        <v>0</v>
      </c>
      <c r="N21" s="19" t="n">
        <f aca="false">AB22-AB21</f>
        <v>0</v>
      </c>
      <c r="O21" s="12" t="n">
        <v>0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" t="n">
        <v>45982</v>
      </c>
      <c r="B22" s="12" t="n">
        <v>0</v>
      </c>
      <c r="C22" s="12" t="n">
        <v>0</v>
      </c>
      <c r="D22" s="19" t="n">
        <f aca="false">W23-W22</f>
        <v>0</v>
      </c>
      <c r="E22" s="12" t="n">
        <v>0</v>
      </c>
      <c r="F22" s="19" t="n">
        <f aca="false">X23-X22</f>
        <v>0</v>
      </c>
      <c r="G22" s="12" t="n">
        <v>0</v>
      </c>
      <c r="H22" s="19" t="n">
        <f aca="false">Y23-Y22</f>
        <v>0</v>
      </c>
      <c r="I22" s="12" t="n">
        <v>0</v>
      </c>
      <c r="J22" s="19" t="n">
        <f aca="false">Z23-Z22</f>
        <v>0</v>
      </c>
      <c r="K22" s="12" t="n">
        <v>0</v>
      </c>
      <c r="L22" s="19" t="n">
        <f aca="false">AA23-AA22</f>
        <v>0</v>
      </c>
      <c r="M22" s="12" t="n">
        <v>0</v>
      </c>
      <c r="N22" s="19" t="n">
        <f aca="false">AB23-AB22</f>
        <v>0</v>
      </c>
      <c r="O22" s="12" t="n">
        <v>0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" t="n">
        <v>45983</v>
      </c>
      <c r="B23" s="12" t="n">
        <v>0</v>
      </c>
      <c r="C23" s="12" t="n">
        <v>0</v>
      </c>
      <c r="D23" s="19" t="n">
        <f aca="false">W24-W23</f>
        <v>0</v>
      </c>
      <c r="E23" s="12" t="n">
        <v>0</v>
      </c>
      <c r="F23" s="19" t="n">
        <f aca="false">X24-X23</f>
        <v>0</v>
      </c>
      <c r="G23" s="12" t="n">
        <v>0</v>
      </c>
      <c r="H23" s="19" t="n">
        <f aca="false">Y24-Y23</f>
        <v>0</v>
      </c>
      <c r="I23" s="12" t="n">
        <v>0</v>
      </c>
      <c r="J23" s="19" t="n">
        <f aca="false">Z24-Z23</f>
        <v>0</v>
      </c>
      <c r="K23" s="12" t="n">
        <v>0</v>
      </c>
      <c r="L23" s="19" t="n">
        <f aca="false">AA24-AA23</f>
        <v>0</v>
      </c>
      <c r="M23" s="12" t="n">
        <v>0</v>
      </c>
      <c r="N23" s="19" t="n">
        <f aca="false">AB24-AB23</f>
        <v>0</v>
      </c>
      <c r="O23" s="12" t="n">
        <v>0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" t="n">
        <v>45984</v>
      </c>
      <c r="B24" s="12" t="n">
        <v>0</v>
      </c>
      <c r="C24" s="12" t="n">
        <v>0</v>
      </c>
      <c r="D24" s="19" t="n">
        <f aca="false">W25-W24</f>
        <v>0</v>
      </c>
      <c r="E24" s="12" t="n">
        <v>0</v>
      </c>
      <c r="F24" s="19" t="n">
        <f aca="false">X25-X24</f>
        <v>0</v>
      </c>
      <c r="G24" s="12" t="n">
        <v>0</v>
      </c>
      <c r="H24" s="19" t="n">
        <f aca="false">Y25-Y24</f>
        <v>0</v>
      </c>
      <c r="I24" s="12" t="n">
        <v>0</v>
      </c>
      <c r="J24" s="19" t="n">
        <f aca="false">Z25-Z24</f>
        <v>0</v>
      </c>
      <c r="K24" s="12" t="n">
        <v>0</v>
      </c>
      <c r="L24" s="19" t="n">
        <f aca="false">AA25-AA24</f>
        <v>0</v>
      </c>
      <c r="M24" s="12" t="n">
        <v>0</v>
      </c>
      <c r="N24" s="19" t="n">
        <f aca="false">AB25-AB24</f>
        <v>0</v>
      </c>
      <c r="O24" s="12" t="n">
        <v>0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" t="n">
        <v>45985</v>
      </c>
      <c r="B25" s="12" t="n">
        <v>0</v>
      </c>
      <c r="C25" s="12" t="n">
        <v>0</v>
      </c>
      <c r="D25" s="19" t="n">
        <f aca="false">W26-W25</f>
        <v>0</v>
      </c>
      <c r="E25" s="12" t="n">
        <v>0</v>
      </c>
      <c r="F25" s="19" t="n">
        <f aca="false">X26-X25</f>
        <v>0</v>
      </c>
      <c r="G25" s="12" t="n">
        <v>0</v>
      </c>
      <c r="H25" s="19" t="n">
        <f aca="false">Y26-Y25</f>
        <v>0</v>
      </c>
      <c r="I25" s="12" t="n">
        <v>0</v>
      </c>
      <c r="J25" s="19" t="n">
        <f aca="false">Z26-Z25</f>
        <v>0</v>
      </c>
      <c r="K25" s="12" t="n">
        <v>0</v>
      </c>
      <c r="L25" s="19" t="n">
        <f aca="false">AA26-AA25</f>
        <v>0</v>
      </c>
      <c r="M25" s="12" t="n">
        <v>0</v>
      </c>
      <c r="N25" s="19" t="n">
        <f aca="false">AB26-AB25</f>
        <v>0</v>
      </c>
      <c r="O25" s="12" t="n">
        <v>0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" t="n">
        <v>45986</v>
      </c>
      <c r="B26" s="12" t="n">
        <v>0</v>
      </c>
      <c r="C26" s="12" t="n">
        <v>0</v>
      </c>
      <c r="D26" s="19" t="n">
        <f aca="false">W27-W26</f>
        <v>0</v>
      </c>
      <c r="E26" s="12" t="n">
        <v>0</v>
      </c>
      <c r="F26" s="19" t="n">
        <f aca="false">X27-X26</f>
        <v>0</v>
      </c>
      <c r="G26" s="12" t="n">
        <v>0</v>
      </c>
      <c r="H26" s="19" t="n">
        <f aca="false">Y27-Y26</f>
        <v>0</v>
      </c>
      <c r="I26" s="12" t="n">
        <v>0</v>
      </c>
      <c r="J26" s="19" t="n">
        <f aca="false">Z27-Z26</f>
        <v>0</v>
      </c>
      <c r="K26" s="12" t="n">
        <v>0</v>
      </c>
      <c r="L26" s="19" t="n">
        <f aca="false">AA27-AA26</f>
        <v>0</v>
      </c>
      <c r="M26" s="12" t="n">
        <v>0</v>
      </c>
      <c r="N26" s="19" t="n">
        <f aca="false">AB27-AB26</f>
        <v>0</v>
      </c>
      <c r="O26" s="12" t="n">
        <v>0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" t="n">
        <v>45987</v>
      </c>
      <c r="B27" s="12" t="n">
        <v>0</v>
      </c>
      <c r="C27" s="12" t="n">
        <v>0</v>
      </c>
      <c r="D27" s="19" t="n">
        <f aca="false">W28-W27</f>
        <v>0</v>
      </c>
      <c r="E27" s="12" t="n">
        <v>0</v>
      </c>
      <c r="F27" s="19" t="n">
        <f aca="false">X28-X27</f>
        <v>0</v>
      </c>
      <c r="G27" s="12" t="n">
        <v>0</v>
      </c>
      <c r="H27" s="19" t="n">
        <f aca="false">Y28-Y27</f>
        <v>0</v>
      </c>
      <c r="I27" s="12" t="n">
        <v>0</v>
      </c>
      <c r="J27" s="19" t="n">
        <f aca="false">Z28-Z27</f>
        <v>0</v>
      </c>
      <c r="K27" s="12" t="n">
        <v>0</v>
      </c>
      <c r="L27" s="19" t="n">
        <f aca="false">AA28-AA27</f>
        <v>0</v>
      </c>
      <c r="M27" s="12" t="n">
        <v>0</v>
      </c>
      <c r="N27" s="19" t="n">
        <f aca="false">AB28-AB27</f>
        <v>0</v>
      </c>
      <c r="O27" s="12" t="n">
        <v>0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" t="n">
        <v>45988</v>
      </c>
      <c r="B28" s="12" t="n">
        <v>0</v>
      </c>
      <c r="C28" s="12" t="n">
        <v>0</v>
      </c>
      <c r="D28" s="19" t="n">
        <f aca="false">W29-W28</f>
        <v>0</v>
      </c>
      <c r="E28" s="12" t="n">
        <v>0</v>
      </c>
      <c r="F28" s="19" t="n">
        <f aca="false">X29-X28</f>
        <v>0</v>
      </c>
      <c r="G28" s="12" t="n">
        <v>0</v>
      </c>
      <c r="H28" s="19" t="n">
        <f aca="false">Y29-Y28</f>
        <v>0</v>
      </c>
      <c r="I28" s="12" t="n">
        <v>0</v>
      </c>
      <c r="J28" s="19" t="n">
        <f aca="false">Z29-Z28</f>
        <v>0</v>
      </c>
      <c r="K28" s="12" t="n">
        <v>0</v>
      </c>
      <c r="L28" s="19" t="n">
        <f aca="false">AA29-AA28</f>
        <v>0</v>
      </c>
      <c r="M28" s="12" t="n">
        <v>0</v>
      </c>
      <c r="N28" s="19" t="n">
        <f aca="false">AB29-AB28</f>
        <v>0</v>
      </c>
      <c r="O28" s="12" t="n">
        <v>0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" t="n">
        <v>45989</v>
      </c>
      <c r="B29" s="12" t="n">
        <v>0</v>
      </c>
      <c r="C29" s="12" t="n">
        <v>0</v>
      </c>
      <c r="D29" s="19" t="n">
        <f aca="false">W30-W29</f>
        <v>0</v>
      </c>
      <c r="E29" s="12" t="n">
        <v>0</v>
      </c>
      <c r="F29" s="19" t="n">
        <f aca="false">X30-X29</f>
        <v>0</v>
      </c>
      <c r="G29" s="12" t="n">
        <v>0</v>
      </c>
      <c r="H29" s="19" t="n">
        <f aca="false">Y30-Y29</f>
        <v>0</v>
      </c>
      <c r="I29" s="12" t="n">
        <v>0</v>
      </c>
      <c r="J29" s="19" t="n">
        <f aca="false">Z30-Z29</f>
        <v>0</v>
      </c>
      <c r="K29" s="12" t="n">
        <v>0</v>
      </c>
      <c r="L29" s="19" t="n">
        <f aca="false">AA30-AA29</f>
        <v>0</v>
      </c>
      <c r="M29" s="12" t="n">
        <v>0</v>
      </c>
      <c r="N29" s="19" t="n">
        <f aca="false">AB30-AB29</f>
        <v>0</v>
      </c>
      <c r="O29" s="12" t="n">
        <v>0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" t="n">
        <v>45990</v>
      </c>
      <c r="B30" s="12" t="n">
        <v>0</v>
      </c>
      <c r="C30" s="12" t="n">
        <v>0</v>
      </c>
      <c r="D30" s="19" t="n">
        <f aca="false">W31-W30</f>
        <v>0</v>
      </c>
      <c r="E30" s="12" t="n">
        <v>0</v>
      </c>
      <c r="F30" s="19" t="n">
        <f aca="false">X31-X30</f>
        <v>0</v>
      </c>
      <c r="G30" s="12" t="n">
        <v>0</v>
      </c>
      <c r="H30" s="19" t="n">
        <f aca="false">Y31-Y30</f>
        <v>0</v>
      </c>
      <c r="I30" s="12" t="n">
        <v>0</v>
      </c>
      <c r="J30" s="19" t="n">
        <f aca="false">Z31-Z30</f>
        <v>0</v>
      </c>
      <c r="K30" s="12" t="n">
        <v>0</v>
      </c>
      <c r="L30" s="19" t="n">
        <f aca="false">AA31-AA30</f>
        <v>0</v>
      </c>
      <c r="M30" s="12" t="n">
        <v>0</v>
      </c>
      <c r="N30" s="19" t="n">
        <f aca="false">AB31-AB30</f>
        <v>0</v>
      </c>
      <c r="O30" s="12" t="n">
        <v>0</v>
      </c>
      <c r="P30" s="19" t="n">
        <f aca="false">AC31-AC30</f>
        <v>0</v>
      </c>
      <c r="Q30" s="12" t="n">
        <v>0</v>
      </c>
      <c r="R30" s="12" t="n">
        <v>0</v>
      </c>
      <c r="S30" s="19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" t="n">
        <v>45991</v>
      </c>
      <c r="B31" s="12" t="n">
        <v>0</v>
      </c>
      <c r="C31" s="12" t="n">
        <v>0</v>
      </c>
      <c r="D31" s="19" t="n">
        <f aca="false">W32-W31</f>
        <v>0</v>
      </c>
      <c r="E31" s="12" t="n">
        <v>0</v>
      </c>
      <c r="F31" s="19" t="n">
        <f aca="false">X32-X31</f>
        <v>0</v>
      </c>
      <c r="G31" s="12" t="n">
        <v>0</v>
      </c>
      <c r="H31" s="19" t="n">
        <f aca="false">Y32-Y31</f>
        <v>0</v>
      </c>
      <c r="I31" s="12" t="n">
        <v>0</v>
      </c>
      <c r="J31" s="19" t="n">
        <f aca="false">Z32-Z31</f>
        <v>0</v>
      </c>
      <c r="K31" s="12" t="n">
        <v>0</v>
      </c>
      <c r="L31" s="19" t="n">
        <f aca="false">AA32-AA31</f>
        <v>0</v>
      </c>
      <c r="M31" s="12" t="n">
        <v>0</v>
      </c>
      <c r="N31" s="19" t="n">
        <f aca="false">AB32-AB31</f>
        <v>0</v>
      </c>
      <c r="O31" s="12" t="n">
        <v>0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T32" s="37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2.75" hidden="false" customHeight="false" outlineLevel="0" collapsed="false"/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B35" activeCellId="0" sqref="B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7.95"/>
    <col collapsed="false" customWidth="true" hidden="false" outlineLevel="0" max="20" min="20" style="1" width="26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45931</v>
      </c>
      <c r="B2" s="13" t="n">
        <v>1974.04199954</v>
      </c>
      <c r="C2" s="13" t="n">
        <v>274.13399992</v>
      </c>
      <c r="D2" s="19" t="n">
        <f aca="false">W3-W2</f>
        <v>207</v>
      </c>
      <c r="E2" s="12" t="n">
        <v>0</v>
      </c>
      <c r="F2" s="19" t="n">
        <f aca="false">X3-X2</f>
        <v>273</v>
      </c>
      <c r="G2" s="12" t="n">
        <v>0</v>
      </c>
      <c r="H2" s="38" t="n">
        <v>120.129032258065</v>
      </c>
      <c r="I2" s="13" t="n">
        <v>51.4838709677419</v>
      </c>
      <c r="J2" s="19" t="n">
        <f aca="false">Z3-Z2</f>
        <v>0</v>
      </c>
      <c r="K2" s="12" t="n">
        <v>0</v>
      </c>
      <c r="L2" s="38" t="n">
        <v>32.5161290322581</v>
      </c>
      <c r="M2" s="13" t="n">
        <v>13.9354838709677</v>
      </c>
      <c r="N2" s="38" t="n">
        <v>391.82399937</v>
      </c>
      <c r="O2" s="13" t="n">
        <v>71.90399992</v>
      </c>
      <c r="P2" s="19" t="n">
        <f aca="false">AC3-AC2</f>
        <v>2</v>
      </c>
      <c r="Q2" s="12" t="n">
        <v>0</v>
      </c>
      <c r="R2" s="12" t="n">
        <v>0</v>
      </c>
      <c r="S2" s="19" t="n">
        <f aca="false">AD3-AD2</f>
        <v>15</v>
      </c>
      <c r="T2" s="12" t="s">
        <v>45</v>
      </c>
      <c r="U2" s="11"/>
      <c r="V2" s="14" t="n">
        <v>0</v>
      </c>
      <c r="W2" s="21" t="n">
        <v>12443</v>
      </c>
      <c r="X2" s="21" t="n">
        <v>15123</v>
      </c>
      <c r="Y2" s="21" t="n">
        <v>9765</v>
      </c>
      <c r="Z2" s="21" t="n">
        <v>10882</v>
      </c>
      <c r="AA2" s="21" t="n">
        <v>1293</v>
      </c>
      <c r="AB2" s="21" t="n">
        <v>4211</v>
      </c>
      <c r="AC2" s="21" t="n">
        <v>427</v>
      </c>
      <c r="AD2" s="21" t="n">
        <v>3783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</row>
    <row r="3" customFormat="false" ht="15.75" hidden="false" customHeight="false" outlineLevel="0" collapsed="false">
      <c r="A3" s="4" t="n">
        <v>45932</v>
      </c>
      <c r="B3" s="13" t="n">
        <v>1972.82399957</v>
      </c>
      <c r="C3" s="13" t="n">
        <v>259.68599992</v>
      </c>
      <c r="D3" s="19" t="n">
        <f aca="false">W4-W3</f>
        <v>96</v>
      </c>
      <c r="E3" s="12" t="n">
        <v>0</v>
      </c>
      <c r="F3" s="19" t="n">
        <f aca="false">X4-X3</f>
        <v>68</v>
      </c>
      <c r="G3" s="12" t="n">
        <v>0</v>
      </c>
      <c r="H3" s="38" t="n">
        <v>120.129032258065</v>
      </c>
      <c r="I3" s="13" t="n">
        <v>51.4838709677419</v>
      </c>
      <c r="J3" s="19" t="n">
        <f aca="false">Z4-Z3</f>
        <v>1</v>
      </c>
      <c r="K3" s="12" t="n">
        <v>0</v>
      </c>
      <c r="L3" s="38" t="n">
        <v>32.5161290322581</v>
      </c>
      <c r="M3" s="13" t="n">
        <v>13.9354838709677</v>
      </c>
      <c r="N3" s="38" t="n">
        <v>371.6879994</v>
      </c>
      <c r="O3" s="13" t="n">
        <v>70.00799988</v>
      </c>
      <c r="P3" s="19" t="n">
        <f aca="false">AC4-AC3</f>
        <v>2</v>
      </c>
      <c r="Q3" s="12" t="n">
        <v>0</v>
      </c>
      <c r="R3" s="12" t="n">
        <v>0</v>
      </c>
      <c r="S3" s="19" t="n">
        <f aca="false">AD4-AD3</f>
        <v>1</v>
      </c>
      <c r="T3" s="12" t="s">
        <v>45</v>
      </c>
      <c r="U3" s="11"/>
      <c r="V3" s="18" t="n">
        <v>1</v>
      </c>
      <c r="W3" s="19" t="n">
        <v>12650</v>
      </c>
      <c r="X3" s="19" t="n">
        <v>15396</v>
      </c>
      <c r="Y3" s="19" t="n">
        <v>9775</v>
      </c>
      <c r="Z3" s="19" t="n">
        <v>10882</v>
      </c>
      <c r="AA3" s="19" t="n">
        <v>1293</v>
      </c>
      <c r="AB3" s="19" t="n">
        <v>4227</v>
      </c>
      <c r="AC3" s="19" t="n">
        <v>429</v>
      </c>
      <c r="AD3" s="19" t="n">
        <v>3798</v>
      </c>
    </row>
    <row r="4" customFormat="false" ht="15.75" hidden="false" customHeight="false" outlineLevel="0" collapsed="false">
      <c r="A4" s="4" t="n">
        <v>45933</v>
      </c>
      <c r="B4" s="13" t="n">
        <v>1478.06399951</v>
      </c>
      <c r="C4" s="13" t="n">
        <v>228.98399993</v>
      </c>
      <c r="D4" s="19" t="n">
        <f aca="false">W5-W4</f>
        <v>92</v>
      </c>
      <c r="E4" s="12" t="n">
        <v>0</v>
      </c>
      <c r="F4" s="19" t="n">
        <f aca="false">X5-X4</f>
        <v>127</v>
      </c>
      <c r="G4" s="12" t="n">
        <v>0</v>
      </c>
      <c r="H4" s="38" t="n">
        <v>120.129032258065</v>
      </c>
      <c r="I4" s="13" t="n">
        <v>51.4838709677419</v>
      </c>
      <c r="J4" s="19" t="n">
        <f aca="false">Z5-Z4</f>
        <v>1</v>
      </c>
      <c r="K4" s="12" t="n">
        <v>0</v>
      </c>
      <c r="L4" s="38" t="n">
        <v>32.5161290322581</v>
      </c>
      <c r="M4" s="13" t="n">
        <v>13.9354838709677</v>
      </c>
      <c r="N4" s="38" t="n">
        <v>363.59999933</v>
      </c>
      <c r="O4" s="13" t="n">
        <v>68.97599988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8</v>
      </c>
      <c r="T4" s="12" t="s">
        <v>46</v>
      </c>
      <c r="U4" s="11"/>
      <c r="V4" s="20" t="n">
        <f aca="false">V3+1</f>
        <v>2</v>
      </c>
      <c r="W4" s="12" t="n">
        <v>12746</v>
      </c>
      <c r="X4" s="12" t="n">
        <v>15464</v>
      </c>
      <c r="Y4" s="12" t="n">
        <v>9783</v>
      </c>
      <c r="Z4" s="12" t="n">
        <v>10883</v>
      </c>
      <c r="AA4" s="12" t="n">
        <v>1294</v>
      </c>
      <c r="AB4" s="12" t="n">
        <v>4229</v>
      </c>
      <c r="AC4" s="12" t="n">
        <v>431</v>
      </c>
      <c r="AD4" s="12" t="n">
        <v>3799</v>
      </c>
    </row>
    <row r="5" customFormat="false" ht="15.75" hidden="false" customHeight="false" outlineLevel="0" collapsed="false">
      <c r="A5" s="4" t="n">
        <v>45934</v>
      </c>
      <c r="B5" s="13" t="n">
        <v>1104.51599948</v>
      </c>
      <c r="C5" s="13" t="n">
        <v>196.26599992</v>
      </c>
      <c r="D5" s="19" t="n">
        <f aca="false">W6-W5</f>
        <v>44</v>
      </c>
      <c r="E5" s="12" t="n">
        <v>0</v>
      </c>
      <c r="F5" s="19" t="n">
        <f aca="false">X6-X5</f>
        <v>36</v>
      </c>
      <c r="G5" s="12" t="n">
        <v>0</v>
      </c>
      <c r="H5" s="38" t="n">
        <v>120.129032258065</v>
      </c>
      <c r="I5" s="13" t="n">
        <v>51.4838709677419</v>
      </c>
      <c r="J5" s="19" t="n">
        <f aca="false">Z6-Z5</f>
        <v>0</v>
      </c>
      <c r="K5" s="12" t="n">
        <v>0</v>
      </c>
      <c r="L5" s="38" t="n">
        <v>32.5161290322581</v>
      </c>
      <c r="M5" s="13" t="n">
        <v>13.9354838709677</v>
      </c>
      <c r="N5" s="38" t="n">
        <v>332.85599937</v>
      </c>
      <c r="O5" s="13" t="n">
        <v>80.4959999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 t="s">
        <v>46</v>
      </c>
      <c r="U5" s="11"/>
      <c r="V5" s="20" t="n">
        <f aca="false">V4+1</f>
        <v>3</v>
      </c>
      <c r="W5" s="12" t="n">
        <v>12838</v>
      </c>
      <c r="X5" s="12" t="n">
        <v>15591</v>
      </c>
      <c r="Y5" s="12" t="n">
        <v>9784</v>
      </c>
      <c r="Z5" s="12" t="n">
        <v>10884</v>
      </c>
      <c r="AA5" s="12" t="n">
        <v>1294</v>
      </c>
      <c r="AB5" s="12" t="n">
        <v>4229</v>
      </c>
      <c r="AC5" s="12" t="n">
        <v>431</v>
      </c>
      <c r="AD5" s="12" t="n">
        <v>3807</v>
      </c>
    </row>
    <row r="6" customFormat="false" ht="15.75" hidden="false" customHeight="false" outlineLevel="0" collapsed="false">
      <c r="A6" s="4" t="n">
        <v>45935</v>
      </c>
      <c r="B6" s="13" t="n">
        <v>1267.39199946</v>
      </c>
      <c r="C6" s="13" t="n">
        <v>228.47999994</v>
      </c>
      <c r="D6" s="19" t="n">
        <f aca="false">W7-W6</f>
        <v>30</v>
      </c>
      <c r="E6" s="12" t="n">
        <v>0</v>
      </c>
      <c r="F6" s="19" t="n">
        <f aca="false">X7-X6</f>
        <v>98</v>
      </c>
      <c r="G6" s="12" t="n">
        <v>0</v>
      </c>
      <c r="H6" s="38" t="n">
        <v>120.129032258065</v>
      </c>
      <c r="I6" s="13" t="n">
        <v>51.4838709677419</v>
      </c>
      <c r="J6" s="19" t="n">
        <f aca="false">Z7-Z6</f>
        <v>2</v>
      </c>
      <c r="K6" s="12" t="n">
        <v>0</v>
      </c>
      <c r="L6" s="38" t="n">
        <v>32.5161290322581</v>
      </c>
      <c r="M6" s="13" t="n">
        <v>13.9354838709677</v>
      </c>
      <c r="N6" s="38" t="n">
        <v>342.91199942</v>
      </c>
      <c r="O6" s="13" t="n">
        <v>66.6719999</v>
      </c>
      <c r="P6" s="19" t="n">
        <f aca="false">AC7-AC6</f>
        <v>0</v>
      </c>
      <c r="Q6" s="12" t="n">
        <v>0</v>
      </c>
      <c r="R6" s="12" t="n">
        <v>0</v>
      </c>
      <c r="S6" s="19" t="n">
        <f aca="false">AD7-AD6</f>
        <v>3</v>
      </c>
      <c r="T6" s="12" t="s">
        <v>46</v>
      </c>
      <c r="U6" s="11"/>
      <c r="V6" s="20" t="n">
        <f aca="false">V5+1</f>
        <v>4</v>
      </c>
      <c r="W6" s="12" t="n">
        <v>12882</v>
      </c>
      <c r="X6" s="12" t="n">
        <v>15627</v>
      </c>
      <c r="Y6" s="12" t="n">
        <v>9790</v>
      </c>
      <c r="Z6" s="12" t="n">
        <v>10884</v>
      </c>
      <c r="AA6" s="12" t="n">
        <v>1294</v>
      </c>
      <c r="AB6" s="12" t="n">
        <v>4244</v>
      </c>
      <c r="AC6" s="12" t="n">
        <v>431</v>
      </c>
      <c r="AD6" s="12" t="n">
        <v>3812</v>
      </c>
    </row>
    <row r="7" customFormat="false" ht="15.75" hidden="false" customHeight="false" outlineLevel="0" collapsed="false">
      <c r="A7" s="4" t="n">
        <v>45936</v>
      </c>
      <c r="B7" s="13" t="n">
        <v>2014.86599959</v>
      </c>
      <c r="C7" s="13" t="n">
        <v>286.2299999</v>
      </c>
      <c r="D7" s="19" t="n">
        <f aca="false">W8-W7</f>
        <v>33</v>
      </c>
      <c r="E7" s="12" t="n">
        <v>0</v>
      </c>
      <c r="F7" s="19" t="n">
        <f aca="false">X8-X7</f>
        <v>70</v>
      </c>
      <c r="G7" s="12" t="n">
        <v>0</v>
      </c>
      <c r="H7" s="38" t="n">
        <v>120.129032258065</v>
      </c>
      <c r="I7" s="13" t="n">
        <v>51.4838709677419</v>
      </c>
      <c r="J7" s="19" t="n">
        <f aca="false">Z8-Z7</f>
        <v>0</v>
      </c>
      <c r="K7" s="12" t="n">
        <v>0</v>
      </c>
      <c r="L7" s="38" t="n">
        <v>32.5161290322581</v>
      </c>
      <c r="M7" s="13" t="n">
        <v>13.9354838709677</v>
      </c>
      <c r="N7" s="38" t="n">
        <v>423.86399935</v>
      </c>
      <c r="O7" s="13" t="n">
        <v>89.23199988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0</v>
      </c>
      <c r="T7" s="12" t="s">
        <v>46</v>
      </c>
      <c r="U7" s="11"/>
      <c r="V7" s="20" t="n">
        <f aca="false">V6+1</f>
        <v>5</v>
      </c>
      <c r="W7" s="12" t="n">
        <v>12912</v>
      </c>
      <c r="X7" s="12" t="n">
        <v>15725</v>
      </c>
      <c r="Y7" s="12" t="n">
        <v>9796</v>
      </c>
      <c r="Z7" s="12" t="n">
        <v>10886</v>
      </c>
      <c r="AA7" s="12" t="n">
        <v>1294</v>
      </c>
      <c r="AB7" s="12" t="n">
        <v>4247</v>
      </c>
      <c r="AC7" s="12" t="n">
        <v>431</v>
      </c>
      <c r="AD7" s="12" t="n">
        <v>3815</v>
      </c>
    </row>
    <row r="8" customFormat="false" ht="15.75" hidden="false" customHeight="false" outlineLevel="0" collapsed="false">
      <c r="A8" s="4" t="n">
        <v>45937</v>
      </c>
      <c r="B8" s="13" t="n">
        <v>2256.07199946</v>
      </c>
      <c r="C8" s="13" t="n">
        <v>305.67599993</v>
      </c>
      <c r="D8" s="19" t="n">
        <f aca="false">W9-W8</f>
        <v>104</v>
      </c>
      <c r="E8" s="12" t="n">
        <v>0</v>
      </c>
      <c r="F8" s="19" t="n">
        <f aca="false">X9-X8</f>
        <v>77</v>
      </c>
      <c r="G8" s="12" t="n">
        <v>0</v>
      </c>
      <c r="H8" s="38" t="n">
        <v>120.129032258065</v>
      </c>
      <c r="I8" s="13" t="n">
        <v>51.4838709677419</v>
      </c>
      <c r="J8" s="19" t="n">
        <f aca="false">Z9-Z8</f>
        <v>1</v>
      </c>
      <c r="K8" s="12" t="n">
        <v>0</v>
      </c>
      <c r="L8" s="38" t="n">
        <v>32.5161290322581</v>
      </c>
      <c r="M8" s="13" t="n">
        <v>13.9354838709677</v>
      </c>
      <c r="N8" s="38" t="n">
        <v>464.32799941</v>
      </c>
      <c r="O8" s="13" t="n">
        <v>98.66399989</v>
      </c>
      <c r="P8" s="19" t="n">
        <f aca="false">AC9-AC8</f>
        <v>2</v>
      </c>
      <c r="Q8" s="12" t="n">
        <v>0</v>
      </c>
      <c r="R8" s="12" t="n">
        <v>0</v>
      </c>
      <c r="S8" s="19" t="n">
        <f aca="false">AD9-AD8</f>
        <v>13</v>
      </c>
      <c r="T8" s="12" t="s">
        <v>46</v>
      </c>
      <c r="U8" s="11"/>
      <c r="V8" s="20" t="n">
        <f aca="false">V7+1</f>
        <v>6</v>
      </c>
      <c r="W8" s="12" t="n">
        <v>12945</v>
      </c>
      <c r="X8" s="12" t="n">
        <v>15795</v>
      </c>
      <c r="Y8" s="12" t="n">
        <v>9801</v>
      </c>
      <c r="Z8" s="12" t="n">
        <v>10886</v>
      </c>
      <c r="AA8" s="12" t="n">
        <v>1294</v>
      </c>
      <c r="AB8" s="12" t="n">
        <v>4247</v>
      </c>
      <c r="AC8" s="12" t="n">
        <v>431</v>
      </c>
      <c r="AD8" s="12" t="n">
        <v>3815</v>
      </c>
    </row>
    <row r="9" customFormat="false" ht="15.75" hidden="false" customHeight="false" outlineLevel="0" collapsed="false">
      <c r="A9" s="4" t="n">
        <v>45938</v>
      </c>
      <c r="B9" s="13" t="n">
        <v>2261.1539995</v>
      </c>
      <c r="C9" s="13" t="n">
        <v>319.57799993</v>
      </c>
      <c r="D9" s="19" t="n">
        <f aca="false">W10-W9</f>
        <v>119</v>
      </c>
      <c r="E9" s="12" t="n">
        <v>0</v>
      </c>
      <c r="F9" s="19" t="n">
        <f aca="false">X10-X9</f>
        <v>143</v>
      </c>
      <c r="G9" s="12" t="n">
        <v>0</v>
      </c>
      <c r="H9" s="38" t="n">
        <v>120.129032258065</v>
      </c>
      <c r="I9" s="13" t="n">
        <v>51.4838709677419</v>
      </c>
      <c r="J9" s="19" t="n">
        <f aca="false">Z10-Z9</f>
        <v>1</v>
      </c>
      <c r="K9" s="12" t="n">
        <v>0</v>
      </c>
      <c r="L9" s="38" t="n">
        <v>32.5161290322581</v>
      </c>
      <c r="M9" s="13" t="n">
        <v>13.9354838709677</v>
      </c>
      <c r="N9" s="38" t="n">
        <v>469.3919994</v>
      </c>
      <c r="O9" s="13" t="n">
        <v>94.70399988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3</v>
      </c>
      <c r="T9" s="12" t="s">
        <v>46</v>
      </c>
      <c r="U9" s="11"/>
      <c r="V9" s="20" t="n">
        <f aca="false">V8+1</f>
        <v>7</v>
      </c>
      <c r="W9" s="12" t="n">
        <v>13049</v>
      </c>
      <c r="X9" s="12" t="n">
        <v>15872</v>
      </c>
      <c r="Y9" s="12" t="n">
        <v>9803</v>
      </c>
      <c r="Z9" s="12" t="n">
        <v>10887</v>
      </c>
      <c r="AA9" s="12" t="n">
        <v>1295</v>
      </c>
      <c r="AB9" s="12" t="n">
        <v>4261</v>
      </c>
      <c r="AC9" s="12" t="n">
        <v>433</v>
      </c>
      <c r="AD9" s="12" t="n">
        <v>3828</v>
      </c>
    </row>
    <row r="10" customFormat="false" ht="15.75" hidden="false" customHeight="false" outlineLevel="0" collapsed="false">
      <c r="A10" s="4" t="n">
        <v>45939</v>
      </c>
      <c r="B10" s="13" t="n">
        <v>2287.57199946</v>
      </c>
      <c r="C10" s="13" t="n">
        <v>309.49799994</v>
      </c>
      <c r="D10" s="19" t="n">
        <f aca="false">W11-W10</f>
        <v>101</v>
      </c>
      <c r="E10" s="12" t="n">
        <v>0</v>
      </c>
      <c r="F10" s="19" t="n">
        <f aca="false">X11-X10</f>
        <v>181</v>
      </c>
      <c r="G10" s="12" t="n">
        <v>0</v>
      </c>
      <c r="H10" s="38" t="n">
        <v>120.129032258065</v>
      </c>
      <c r="I10" s="13" t="n">
        <v>51.4838709677419</v>
      </c>
      <c r="J10" s="19" t="n">
        <f aca="false">Z11-Z10</f>
        <v>0</v>
      </c>
      <c r="K10" s="12" t="n">
        <v>0</v>
      </c>
      <c r="L10" s="38" t="n">
        <v>32.5161290322581</v>
      </c>
      <c r="M10" s="13" t="n">
        <v>13.9354838709677</v>
      </c>
      <c r="N10" s="38" t="n">
        <v>432.35999932</v>
      </c>
      <c r="O10" s="13" t="n">
        <v>76.94399989</v>
      </c>
      <c r="P10" s="19" t="n">
        <f aca="false">AC11-AC10</f>
        <v>2</v>
      </c>
      <c r="Q10" s="12" t="n">
        <v>0</v>
      </c>
      <c r="R10" s="12" t="n">
        <v>0</v>
      </c>
      <c r="S10" s="19" t="n">
        <f aca="false">AD11-AD10</f>
        <v>9</v>
      </c>
      <c r="T10" s="12" t="s">
        <v>46</v>
      </c>
      <c r="U10" s="11"/>
      <c r="V10" s="20" t="n">
        <f aca="false">V9+1</f>
        <v>8</v>
      </c>
      <c r="W10" s="12" t="n">
        <v>13168</v>
      </c>
      <c r="X10" s="12" t="n">
        <v>16015</v>
      </c>
      <c r="Y10" s="12" t="n">
        <v>9807</v>
      </c>
      <c r="Z10" s="12" t="n">
        <v>10888</v>
      </c>
      <c r="AA10" s="12" t="n">
        <v>1295</v>
      </c>
      <c r="AB10" s="12" t="n">
        <v>4264</v>
      </c>
      <c r="AC10" s="12" t="n">
        <v>433</v>
      </c>
      <c r="AD10" s="12" t="n">
        <v>3831</v>
      </c>
    </row>
    <row r="11" customFormat="false" ht="15.75" hidden="false" customHeight="false" outlineLevel="0" collapsed="false">
      <c r="A11" s="4" t="n">
        <v>45940</v>
      </c>
      <c r="B11" s="13" t="n">
        <v>1645.39199953</v>
      </c>
      <c r="C11" s="13" t="n">
        <v>273.29399992</v>
      </c>
      <c r="D11" s="19" t="n">
        <f aca="false">W12-W11</f>
        <v>0</v>
      </c>
      <c r="E11" s="12" t="n">
        <v>0</v>
      </c>
      <c r="F11" s="19" t="n">
        <f aca="false">X12-X11</f>
        <v>0</v>
      </c>
      <c r="G11" s="12" t="n">
        <v>0</v>
      </c>
      <c r="H11" s="38" t="n">
        <v>120.129032258065</v>
      </c>
      <c r="I11" s="13" t="n">
        <v>51.4838709677419</v>
      </c>
      <c r="J11" s="19" t="n">
        <f aca="false">Z12-Z11</f>
        <v>0</v>
      </c>
      <c r="K11" s="12" t="n">
        <v>0</v>
      </c>
      <c r="L11" s="38" t="n">
        <v>32.5161290322581</v>
      </c>
      <c r="M11" s="13" t="n">
        <v>13.9354838709677</v>
      </c>
      <c r="N11" s="38" t="n">
        <v>361.91999931</v>
      </c>
      <c r="O11" s="13" t="n">
        <v>55.7519999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0</v>
      </c>
      <c r="T11" s="12" t="s">
        <v>46</v>
      </c>
      <c r="U11" s="11"/>
      <c r="V11" s="20" t="n">
        <f aca="false">V10+1</f>
        <v>9</v>
      </c>
      <c r="W11" s="12" t="n">
        <v>13269</v>
      </c>
      <c r="X11" s="12" t="n">
        <v>16196</v>
      </c>
      <c r="Y11" s="12" t="n">
        <v>9811</v>
      </c>
      <c r="Z11" s="12" t="n">
        <v>10888</v>
      </c>
      <c r="AA11" s="12" t="n">
        <v>1295</v>
      </c>
      <c r="AB11" s="12" t="n">
        <v>4275</v>
      </c>
      <c r="AC11" s="12" t="n">
        <v>435</v>
      </c>
      <c r="AD11" s="12" t="n">
        <v>3840</v>
      </c>
    </row>
    <row r="12" customFormat="false" ht="15.75" hidden="false" customHeight="false" outlineLevel="0" collapsed="false">
      <c r="A12" s="4" t="n">
        <v>45941</v>
      </c>
      <c r="B12" s="13" t="n">
        <v>1321.99199949</v>
      </c>
      <c r="C12" s="13" t="n">
        <v>213.48599991</v>
      </c>
      <c r="D12" s="19" t="n">
        <f aca="false">W13-W12</f>
        <v>0</v>
      </c>
      <c r="E12" s="12" t="n">
        <v>0</v>
      </c>
      <c r="F12" s="19" t="n">
        <f aca="false">X13-X12</f>
        <v>0</v>
      </c>
      <c r="G12" s="12" t="n">
        <v>0</v>
      </c>
      <c r="H12" s="38" t="n">
        <v>120.129032258065</v>
      </c>
      <c r="I12" s="13" t="n">
        <v>51.4838709677419</v>
      </c>
      <c r="J12" s="19" t="n">
        <f aca="false">Z13-Z12</f>
        <v>0</v>
      </c>
      <c r="K12" s="12" t="n">
        <v>0</v>
      </c>
      <c r="L12" s="38" t="n">
        <v>32.5161290322581</v>
      </c>
      <c r="M12" s="13" t="n">
        <v>13.9354838709677</v>
      </c>
      <c r="N12" s="38" t="n">
        <v>309.23999933</v>
      </c>
      <c r="O12" s="13" t="n">
        <v>47.06399987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0</v>
      </c>
      <c r="T12" s="12" t="s">
        <v>46</v>
      </c>
      <c r="U12" s="11"/>
      <c r="V12" s="20" t="n">
        <f aca="false">V11+1</f>
        <v>10</v>
      </c>
      <c r="W12" s="12" t="n">
        <v>13269</v>
      </c>
      <c r="X12" s="12" t="n">
        <v>16196</v>
      </c>
      <c r="Y12" s="12" t="n">
        <v>9811</v>
      </c>
      <c r="Z12" s="12" t="n">
        <v>10888</v>
      </c>
      <c r="AA12" s="12" t="n">
        <v>1295</v>
      </c>
      <c r="AB12" s="12" t="n">
        <v>4275</v>
      </c>
      <c r="AC12" s="12" t="n">
        <v>435</v>
      </c>
      <c r="AD12" s="12" t="n">
        <v>3840</v>
      </c>
    </row>
    <row r="13" customFormat="false" ht="15.75" hidden="false" customHeight="false" outlineLevel="0" collapsed="false">
      <c r="A13" s="4" t="n">
        <v>45942</v>
      </c>
      <c r="B13" s="13" t="n">
        <v>1269.07199945</v>
      </c>
      <c r="C13" s="13" t="n">
        <v>197.39999995</v>
      </c>
      <c r="D13" s="19" t="n">
        <f aca="false">W14-W13</f>
        <v>165</v>
      </c>
      <c r="E13" s="12" t="n">
        <v>0</v>
      </c>
      <c r="F13" s="19" t="n">
        <f aca="false">X14-X13</f>
        <v>293</v>
      </c>
      <c r="G13" s="12" t="n">
        <v>0</v>
      </c>
      <c r="H13" s="38" t="n">
        <v>120.129032258065</v>
      </c>
      <c r="I13" s="13" t="n">
        <v>51.4838709677419</v>
      </c>
      <c r="J13" s="19" t="n">
        <f aca="false">Z14-Z13</f>
        <v>3</v>
      </c>
      <c r="K13" s="12" t="n">
        <v>0</v>
      </c>
      <c r="L13" s="38" t="n">
        <v>32.5161290322581</v>
      </c>
      <c r="M13" s="13" t="n">
        <v>13.9354838709677</v>
      </c>
      <c r="N13" s="38" t="n">
        <v>323.85599942</v>
      </c>
      <c r="O13" s="13" t="n">
        <v>74.32799988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11</v>
      </c>
      <c r="T13" s="12" t="s">
        <v>46</v>
      </c>
      <c r="U13" s="11"/>
      <c r="V13" s="20" t="n">
        <f aca="false">V12+1</f>
        <v>11</v>
      </c>
      <c r="W13" s="12" t="n">
        <v>13269</v>
      </c>
      <c r="X13" s="12" t="n">
        <v>16196</v>
      </c>
      <c r="Y13" s="12" t="n">
        <v>9811</v>
      </c>
      <c r="Z13" s="12" t="n">
        <v>10888</v>
      </c>
      <c r="AA13" s="12" t="n">
        <v>1295</v>
      </c>
      <c r="AB13" s="12" t="n">
        <v>4275</v>
      </c>
      <c r="AC13" s="12" t="n">
        <v>435</v>
      </c>
      <c r="AD13" s="12" t="n">
        <v>3840</v>
      </c>
    </row>
    <row r="14" customFormat="false" ht="15.75" hidden="false" customHeight="false" outlineLevel="0" collapsed="false">
      <c r="A14" s="4" t="n">
        <v>45943</v>
      </c>
      <c r="B14" s="13" t="n">
        <v>1736.19599946</v>
      </c>
      <c r="C14" s="13" t="n">
        <v>283.49999989</v>
      </c>
      <c r="D14" s="19" t="n">
        <f aca="false">W15-W14</f>
        <v>31</v>
      </c>
      <c r="E14" s="12" t="n">
        <v>0</v>
      </c>
      <c r="F14" s="19" t="n">
        <f aca="false">X15-X14</f>
        <v>139</v>
      </c>
      <c r="G14" s="12" t="n">
        <v>0</v>
      </c>
      <c r="H14" s="38" t="n">
        <v>120.129032258065</v>
      </c>
      <c r="I14" s="13" t="n">
        <v>51.4838709677419</v>
      </c>
      <c r="J14" s="19" t="n">
        <f aca="false">Z15-Z14</f>
        <v>0</v>
      </c>
      <c r="K14" s="12" t="n">
        <v>0</v>
      </c>
      <c r="L14" s="38" t="n">
        <v>32.5161290322581</v>
      </c>
      <c r="M14" s="13" t="n">
        <v>13.9354838709677</v>
      </c>
      <c r="N14" s="38" t="n">
        <v>289.05599935</v>
      </c>
      <c r="O14" s="13" t="n">
        <v>56.4719999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8</v>
      </c>
      <c r="T14" s="12" t="s">
        <v>46</v>
      </c>
      <c r="U14" s="11"/>
      <c r="V14" s="20" t="n">
        <f aca="false">V13+1</f>
        <v>12</v>
      </c>
      <c r="W14" s="12" t="n">
        <v>13434</v>
      </c>
      <c r="X14" s="12" t="n">
        <v>16489</v>
      </c>
      <c r="Y14" s="12" t="n">
        <v>9830</v>
      </c>
      <c r="Z14" s="12" t="n">
        <v>10891</v>
      </c>
      <c r="AA14" s="12" t="n">
        <v>1296</v>
      </c>
      <c r="AB14" s="12" t="n">
        <v>4288</v>
      </c>
      <c r="AC14" s="12" t="n">
        <v>436</v>
      </c>
      <c r="AD14" s="12" t="n">
        <v>3851</v>
      </c>
    </row>
    <row r="15" customFormat="false" ht="23.85" hidden="false" customHeight="false" outlineLevel="0" collapsed="false">
      <c r="A15" s="4" t="n">
        <v>45944</v>
      </c>
      <c r="B15" s="13" t="n">
        <v>2011.67399949</v>
      </c>
      <c r="C15" s="13" t="n">
        <v>269.34599992</v>
      </c>
      <c r="D15" s="19" t="n">
        <f aca="false">W16-W15</f>
        <v>0</v>
      </c>
      <c r="E15" s="12" t="n">
        <v>0</v>
      </c>
      <c r="F15" s="19" t="n">
        <f aca="false">X16-X15</f>
        <v>0</v>
      </c>
      <c r="G15" s="12" t="n">
        <v>0</v>
      </c>
      <c r="H15" s="38" t="n">
        <v>120.129032258065</v>
      </c>
      <c r="I15" s="13" t="n">
        <v>51.4838709677419</v>
      </c>
      <c r="J15" s="19" t="n">
        <v>1</v>
      </c>
      <c r="K15" s="12" t="n">
        <v>0</v>
      </c>
      <c r="L15" s="38" t="n">
        <v>32.5161290322581</v>
      </c>
      <c r="M15" s="13" t="n">
        <v>13.9354838709677</v>
      </c>
      <c r="N15" s="38" t="n">
        <v>299.37599936</v>
      </c>
      <c r="O15" s="13" t="n">
        <v>66.14399991</v>
      </c>
      <c r="P15" s="19" t="n">
        <f aca="false">AC16-AC15</f>
        <v>1</v>
      </c>
      <c r="Q15" s="12" t="n">
        <v>0</v>
      </c>
      <c r="R15" s="12" t="n">
        <v>0</v>
      </c>
      <c r="S15" s="19" t="n">
        <f aca="false">AD16-AD15</f>
        <v>3</v>
      </c>
      <c r="T15" s="12" t="s">
        <v>47</v>
      </c>
      <c r="U15" s="11"/>
      <c r="V15" s="20" t="n">
        <f aca="false">V14+1</f>
        <v>13</v>
      </c>
      <c r="W15" s="12" t="n">
        <v>13465</v>
      </c>
      <c r="X15" s="12" t="n">
        <v>16628</v>
      </c>
      <c r="Y15" s="12" t="n">
        <v>9834</v>
      </c>
      <c r="Z15" s="12" t="n">
        <v>10891</v>
      </c>
      <c r="AA15" s="12" t="n">
        <v>1296</v>
      </c>
      <c r="AB15" s="12" t="n">
        <v>4295</v>
      </c>
      <c r="AC15" s="12" t="n">
        <v>436</v>
      </c>
      <c r="AD15" s="12" t="n">
        <v>3859</v>
      </c>
    </row>
    <row r="16" customFormat="false" ht="15.75" hidden="false" customHeight="false" outlineLevel="0" collapsed="false">
      <c r="A16" s="4" t="n">
        <v>45945</v>
      </c>
      <c r="B16" s="13" t="n">
        <v>2204.78999942</v>
      </c>
      <c r="C16" s="13" t="n">
        <v>365.7779999</v>
      </c>
      <c r="D16" s="19" t="n">
        <f aca="false">W17-W16</f>
        <v>178</v>
      </c>
      <c r="E16" s="12" t="n">
        <v>0</v>
      </c>
      <c r="F16" s="19" t="n">
        <f aca="false">X17-X16</f>
        <v>282</v>
      </c>
      <c r="G16" s="12" t="n">
        <v>0</v>
      </c>
      <c r="H16" s="38" t="n">
        <v>120.129032258065</v>
      </c>
      <c r="I16" s="13" t="n">
        <v>51.4838709677419</v>
      </c>
      <c r="J16" s="19" t="n">
        <f aca="false">Z17-Z16</f>
        <v>0</v>
      </c>
      <c r="K16" s="12" t="n">
        <v>0</v>
      </c>
      <c r="L16" s="38" t="n">
        <v>32.5161290322581</v>
      </c>
      <c r="M16" s="13" t="n">
        <v>13.9354838709677</v>
      </c>
      <c r="N16" s="38" t="n">
        <v>383.9279993</v>
      </c>
      <c r="O16" s="13" t="n">
        <v>80.90399991</v>
      </c>
      <c r="P16" s="19" t="n">
        <f aca="false">AC17-AC16</f>
        <v>1</v>
      </c>
      <c r="Q16" s="12" t="n">
        <v>0</v>
      </c>
      <c r="R16" s="12" t="n">
        <v>0</v>
      </c>
      <c r="S16" s="19" t="n">
        <f aca="false">AD17-AD16</f>
        <v>4</v>
      </c>
      <c r="T16" s="12" t="s">
        <v>48</v>
      </c>
      <c r="U16" s="11"/>
      <c r="V16" s="20" t="n">
        <f aca="false">V15+1</f>
        <v>14</v>
      </c>
      <c r="W16" s="12" t="n">
        <v>13465</v>
      </c>
      <c r="X16" s="12" t="n">
        <v>16628</v>
      </c>
      <c r="Y16" s="12" t="n">
        <v>9837</v>
      </c>
      <c r="Z16" s="12" t="n">
        <v>10892</v>
      </c>
      <c r="AA16" s="12" t="n">
        <v>1297</v>
      </c>
      <c r="AB16" s="12" t="n">
        <v>4300</v>
      </c>
      <c r="AC16" s="12" t="n">
        <v>437</v>
      </c>
      <c r="AD16" s="12" t="n">
        <v>3862</v>
      </c>
    </row>
    <row r="17" customFormat="false" ht="23.85" hidden="false" customHeight="false" outlineLevel="0" collapsed="false">
      <c r="A17" s="4" t="n">
        <v>45946</v>
      </c>
      <c r="B17" s="13" t="n">
        <v>2037.16799949</v>
      </c>
      <c r="C17" s="13" t="n">
        <v>278.9219999</v>
      </c>
      <c r="D17" s="19" t="n">
        <f aca="false">W18-W17</f>
        <v>79</v>
      </c>
      <c r="E17" s="12" t="n">
        <v>0</v>
      </c>
      <c r="F17" s="19" t="n">
        <f aca="false">X18-X17</f>
        <v>50</v>
      </c>
      <c r="G17" s="12" t="n">
        <v>0</v>
      </c>
      <c r="H17" s="38" t="n">
        <v>120.129032258065</v>
      </c>
      <c r="I17" s="13" t="n">
        <v>51.4838709677419</v>
      </c>
      <c r="J17" s="19" t="n">
        <f aca="false">Z18-Z17</f>
        <v>0</v>
      </c>
      <c r="K17" s="12" t="n">
        <v>0</v>
      </c>
      <c r="L17" s="38" t="n">
        <v>32.5161290322581</v>
      </c>
      <c r="M17" s="13" t="n">
        <v>13.9354838709677</v>
      </c>
      <c r="N17" s="38" t="n">
        <v>461.90399937</v>
      </c>
      <c r="O17" s="13" t="n">
        <v>91.05599988</v>
      </c>
      <c r="P17" s="19" t="n">
        <f aca="false">AC18-AC17</f>
        <v>1</v>
      </c>
      <c r="Q17" s="12" t="n">
        <v>0</v>
      </c>
      <c r="R17" s="12" t="n">
        <v>0</v>
      </c>
      <c r="S17" s="19" t="n">
        <f aca="false">AD18-AD17</f>
        <v>6</v>
      </c>
      <c r="T17" s="12" t="s">
        <v>49</v>
      </c>
      <c r="U17" s="11"/>
      <c r="V17" s="20" t="n">
        <f aca="false">V16+1</f>
        <v>15</v>
      </c>
      <c r="W17" s="22" t="n">
        <v>13643</v>
      </c>
      <c r="X17" s="22" t="n">
        <v>16910</v>
      </c>
      <c r="Y17" s="22" t="n">
        <v>9844</v>
      </c>
      <c r="Z17" s="22" t="n">
        <v>10892</v>
      </c>
      <c r="AA17" s="22" t="n">
        <v>1297</v>
      </c>
      <c r="AB17" s="22" t="n">
        <v>4305</v>
      </c>
      <c r="AC17" s="22" t="n">
        <v>438</v>
      </c>
      <c r="AD17" s="22" t="n">
        <v>3866</v>
      </c>
    </row>
    <row r="18" customFormat="false" ht="15.75" hidden="false" customHeight="false" outlineLevel="0" collapsed="false">
      <c r="A18" s="4" t="n">
        <v>45947</v>
      </c>
      <c r="B18" s="13" t="n">
        <v>1163.27399944</v>
      </c>
      <c r="C18" s="13" t="n">
        <v>259.68599992</v>
      </c>
      <c r="D18" s="19" t="n">
        <f aca="false">W19-W18</f>
        <v>209</v>
      </c>
      <c r="E18" s="12" t="n">
        <v>0</v>
      </c>
      <c r="F18" s="19" t="n">
        <f aca="false">X19-X18</f>
        <v>160</v>
      </c>
      <c r="G18" s="12" t="n">
        <v>0</v>
      </c>
      <c r="H18" s="38" t="n">
        <v>120.129032258065</v>
      </c>
      <c r="I18" s="13" t="n">
        <v>51.4838709677419</v>
      </c>
      <c r="J18" s="19" t="n">
        <f aca="false">Z19-Z18</f>
        <v>2</v>
      </c>
      <c r="K18" s="12" t="n">
        <v>0</v>
      </c>
      <c r="L18" s="38" t="n">
        <v>32.5161290322581</v>
      </c>
      <c r="M18" s="13" t="n">
        <v>13.9354838709677</v>
      </c>
      <c r="N18" s="38" t="n">
        <v>450.2639993</v>
      </c>
      <c r="O18" s="13" t="n">
        <v>83.68799989</v>
      </c>
      <c r="P18" s="19" t="n">
        <f aca="false">AC19-AC18</f>
        <v>1</v>
      </c>
      <c r="Q18" s="12" t="n">
        <v>0</v>
      </c>
      <c r="R18" s="12" t="n">
        <v>0</v>
      </c>
      <c r="S18" s="19" t="n">
        <f aca="false">AD19-AD18</f>
        <v>2</v>
      </c>
      <c r="T18" s="12" t="s">
        <v>46</v>
      </c>
      <c r="U18" s="11"/>
      <c r="V18" s="20" t="n">
        <f aca="false">V17+1</f>
        <v>16</v>
      </c>
      <c r="W18" s="22" t="n">
        <v>13722</v>
      </c>
      <c r="X18" s="22" t="n">
        <v>16960</v>
      </c>
      <c r="Y18" s="22" t="n">
        <v>9844</v>
      </c>
      <c r="Z18" s="22" t="n">
        <v>10892</v>
      </c>
      <c r="AA18" s="22" t="n">
        <v>1297</v>
      </c>
      <c r="AB18" s="22" t="n">
        <v>4309</v>
      </c>
      <c r="AC18" s="22" t="n">
        <v>439</v>
      </c>
      <c r="AD18" s="22" t="n">
        <v>3872</v>
      </c>
    </row>
    <row r="19" customFormat="false" ht="15.75" hidden="false" customHeight="false" outlineLevel="0" collapsed="false">
      <c r="A19" s="4" t="n">
        <v>45948</v>
      </c>
      <c r="B19" s="13" t="n">
        <v>1258.8239995</v>
      </c>
      <c r="C19" s="13" t="n">
        <v>191.89799992</v>
      </c>
      <c r="D19" s="19" t="n">
        <f aca="false">W20-W19</f>
        <v>0</v>
      </c>
      <c r="E19" s="12" t="n">
        <v>0</v>
      </c>
      <c r="F19" s="19" t="n">
        <f aca="false">X20-X19</f>
        <v>0</v>
      </c>
      <c r="G19" s="12" t="n">
        <v>0</v>
      </c>
      <c r="H19" s="38" t="n">
        <v>120.129032258065</v>
      </c>
      <c r="I19" s="13" t="n">
        <v>51.4838709677419</v>
      </c>
      <c r="J19" s="19" t="n">
        <f aca="false">Z20-Z19</f>
        <v>0</v>
      </c>
      <c r="K19" s="12" t="n">
        <v>0</v>
      </c>
      <c r="L19" s="38" t="n">
        <v>32.5161290322581</v>
      </c>
      <c r="M19" s="13" t="n">
        <v>13.9354838709677</v>
      </c>
      <c r="N19" s="38" t="n">
        <v>378.52799937</v>
      </c>
      <c r="O19" s="13" t="n">
        <v>65.9039999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 t="s">
        <v>46</v>
      </c>
      <c r="U19" s="23"/>
      <c r="V19" s="24" t="n">
        <f aca="false">V18+1</f>
        <v>17</v>
      </c>
      <c r="W19" s="25" t="n">
        <v>13931</v>
      </c>
      <c r="X19" s="25" t="n">
        <v>17120</v>
      </c>
      <c r="Y19" s="25" t="n">
        <v>9853</v>
      </c>
      <c r="Z19" s="25" t="n">
        <v>10894</v>
      </c>
      <c r="AA19" s="25" t="n">
        <v>1297</v>
      </c>
      <c r="AB19" s="25" t="n">
        <v>4314</v>
      </c>
      <c r="AC19" s="25" t="n">
        <v>440</v>
      </c>
      <c r="AD19" s="25" t="n">
        <v>3874</v>
      </c>
    </row>
    <row r="20" customFormat="false" ht="15.75" hidden="false" customHeight="false" outlineLevel="0" collapsed="false">
      <c r="A20" s="4" t="n">
        <v>45949</v>
      </c>
      <c r="B20" s="13" t="n">
        <v>1154.74799946</v>
      </c>
      <c r="C20" s="13" t="n">
        <v>190.30199995</v>
      </c>
      <c r="D20" s="19" t="n">
        <f aca="false">W21-W20</f>
        <v>0</v>
      </c>
      <c r="E20" s="12" t="n">
        <v>0</v>
      </c>
      <c r="F20" s="19" t="n">
        <f aca="false">X21-X20</f>
        <v>0</v>
      </c>
      <c r="G20" s="12" t="n">
        <v>0</v>
      </c>
      <c r="H20" s="38" t="n">
        <v>120.129032258065</v>
      </c>
      <c r="I20" s="13" t="n">
        <v>51.4838709677419</v>
      </c>
      <c r="J20" s="19" t="n">
        <f aca="false">Z21-Z20</f>
        <v>0</v>
      </c>
      <c r="K20" s="12" t="n">
        <v>0</v>
      </c>
      <c r="L20" s="38" t="n">
        <v>32.5161290322581</v>
      </c>
      <c r="M20" s="13" t="n">
        <v>13.9354838709677</v>
      </c>
      <c r="N20" s="38" t="n">
        <v>280.51199934</v>
      </c>
      <c r="O20" s="13" t="n">
        <v>50.92799992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 t="s">
        <v>46</v>
      </c>
      <c r="U20" s="11"/>
      <c r="V20" s="24" t="n">
        <f aca="false">V19+1</f>
        <v>18</v>
      </c>
      <c r="W20" s="25" t="n">
        <v>13931</v>
      </c>
      <c r="X20" s="25" t="n">
        <v>17120</v>
      </c>
      <c r="Y20" s="25" t="n">
        <v>9853</v>
      </c>
      <c r="Z20" s="25" t="n">
        <v>10894</v>
      </c>
      <c r="AA20" s="25" t="n">
        <v>1297</v>
      </c>
      <c r="AB20" s="25" t="n">
        <v>4314</v>
      </c>
      <c r="AC20" s="25" t="n">
        <v>440</v>
      </c>
      <c r="AD20" s="25" t="n">
        <v>3874</v>
      </c>
    </row>
    <row r="21" customFormat="false" ht="15.75" hidden="false" customHeight="false" outlineLevel="0" collapsed="false">
      <c r="A21" s="4" t="n">
        <v>45950</v>
      </c>
      <c r="B21" s="13" t="n">
        <v>1641.40199954</v>
      </c>
      <c r="C21" s="13" t="n">
        <v>236.87999992</v>
      </c>
      <c r="D21" s="19" t="n">
        <f aca="false">W22-W21</f>
        <v>0</v>
      </c>
      <c r="E21" s="12" t="n">
        <v>0</v>
      </c>
      <c r="F21" s="19" t="n">
        <f aca="false">X22-X21</f>
        <v>0</v>
      </c>
      <c r="G21" s="12" t="n">
        <v>0</v>
      </c>
      <c r="H21" s="38" t="n">
        <v>120.129032258065</v>
      </c>
      <c r="I21" s="13" t="n">
        <v>51.4838709677419</v>
      </c>
      <c r="J21" s="19" t="n">
        <f aca="false">Z22-Z21</f>
        <v>0</v>
      </c>
      <c r="K21" s="12" t="n">
        <v>0</v>
      </c>
      <c r="L21" s="38" t="n">
        <v>32.5161290322581</v>
      </c>
      <c r="M21" s="13" t="n">
        <v>13.9354838709677</v>
      </c>
      <c r="N21" s="38" t="n">
        <v>260.13599939</v>
      </c>
      <c r="O21" s="13" t="n">
        <v>59.2559999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 t="s">
        <v>46</v>
      </c>
      <c r="U21" s="11"/>
      <c r="V21" s="24" t="n">
        <f aca="false">V20+1</f>
        <v>19</v>
      </c>
      <c r="W21" s="25" t="n">
        <v>13931</v>
      </c>
      <c r="X21" s="25" t="n">
        <v>17120</v>
      </c>
      <c r="Y21" s="25" t="n">
        <v>9853</v>
      </c>
      <c r="Z21" s="25" t="n">
        <v>10894</v>
      </c>
      <c r="AA21" s="25" t="n">
        <v>1297</v>
      </c>
      <c r="AB21" s="25" t="n">
        <v>4314</v>
      </c>
      <c r="AC21" s="25" t="n">
        <v>440</v>
      </c>
      <c r="AD21" s="25" t="n">
        <v>3874</v>
      </c>
    </row>
    <row r="22" customFormat="false" ht="15.75" hidden="false" customHeight="false" outlineLevel="0" collapsed="false">
      <c r="A22" s="4" t="n">
        <v>45951</v>
      </c>
      <c r="B22" s="13" t="n">
        <v>1585.62599957</v>
      </c>
      <c r="C22" s="13" t="n">
        <v>230.36999993</v>
      </c>
      <c r="D22" s="19" t="n">
        <f aca="false">W23-W22</f>
        <v>0</v>
      </c>
      <c r="E22" s="12" t="n">
        <v>0</v>
      </c>
      <c r="F22" s="19" t="n">
        <f aca="false">X23-X22</f>
        <v>0</v>
      </c>
      <c r="G22" s="12" t="n">
        <v>0</v>
      </c>
      <c r="H22" s="38" t="n">
        <v>120.129032258065</v>
      </c>
      <c r="I22" s="13" t="n">
        <v>51.4838709677419</v>
      </c>
      <c r="J22" s="19" t="n">
        <f aca="false">Z23-Z22</f>
        <v>0</v>
      </c>
      <c r="K22" s="12" t="n">
        <v>0</v>
      </c>
      <c r="L22" s="38" t="n">
        <v>32.5161290322581</v>
      </c>
      <c r="M22" s="13" t="n">
        <v>13.9354838709677</v>
      </c>
      <c r="N22" s="38" t="n">
        <v>248.73599942</v>
      </c>
      <c r="O22" s="13" t="n">
        <v>61.43999989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 t="s">
        <v>50</v>
      </c>
      <c r="U22" s="11"/>
      <c r="V22" s="24" t="n">
        <f aca="false">V21+1</f>
        <v>20</v>
      </c>
      <c r="W22" s="25" t="n">
        <v>13931</v>
      </c>
      <c r="X22" s="25" t="n">
        <v>17120</v>
      </c>
      <c r="Y22" s="25" t="n">
        <v>9853</v>
      </c>
      <c r="Z22" s="25" t="n">
        <v>10894</v>
      </c>
      <c r="AA22" s="25" t="n">
        <v>1297</v>
      </c>
      <c r="AB22" s="25" t="n">
        <v>4314</v>
      </c>
      <c r="AC22" s="25" t="n">
        <v>440</v>
      </c>
      <c r="AD22" s="25" t="n">
        <v>3874</v>
      </c>
    </row>
    <row r="23" customFormat="false" ht="15.75" hidden="false" customHeight="false" outlineLevel="0" collapsed="false">
      <c r="A23" s="4" t="n">
        <v>45952</v>
      </c>
      <c r="B23" s="13" t="n">
        <v>1632.95999952</v>
      </c>
      <c r="C23" s="13" t="n">
        <v>272.70599993</v>
      </c>
      <c r="D23" s="19" t="n">
        <f aca="false">W24-W23</f>
        <v>160</v>
      </c>
      <c r="E23" s="12" t="n">
        <v>0</v>
      </c>
      <c r="F23" s="19" t="n">
        <f aca="false">X24-X23</f>
        <v>447</v>
      </c>
      <c r="G23" s="12" t="n">
        <v>0</v>
      </c>
      <c r="H23" s="38" t="n">
        <v>120.129032258065</v>
      </c>
      <c r="I23" s="13" t="n">
        <v>51.4838709677419</v>
      </c>
      <c r="J23" s="19" t="n">
        <f aca="false">Z24-Z23</f>
        <v>3</v>
      </c>
      <c r="K23" s="12" t="n">
        <v>0</v>
      </c>
      <c r="L23" s="38" t="n">
        <v>32.5161290322581</v>
      </c>
      <c r="M23" s="13" t="n">
        <v>13.9354838709677</v>
      </c>
      <c r="N23" s="38" t="n">
        <v>251.32799936</v>
      </c>
      <c r="O23" s="13" t="n">
        <v>62.63999992</v>
      </c>
      <c r="P23" s="19" t="n">
        <f aca="false">AC24-AC23</f>
        <v>2</v>
      </c>
      <c r="Q23" s="12" t="n">
        <v>0</v>
      </c>
      <c r="R23" s="12" t="n">
        <v>0</v>
      </c>
      <c r="S23" s="19" t="n">
        <f aca="false">AD24-AD23</f>
        <v>24</v>
      </c>
      <c r="T23" s="12" t="s">
        <v>46</v>
      </c>
      <c r="U23" s="11"/>
      <c r="V23" s="24" t="n">
        <f aca="false">V22+1</f>
        <v>21</v>
      </c>
      <c r="W23" s="25" t="n">
        <v>13931</v>
      </c>
      <c r="X23" s="25" t="n">
        <v>17120</v>
      </c>
      <c r="Y23" s="25" t="n">
        <v>9853</v>
      </c>
      <c r="Z23" s="25" t="n">
        <v>10894</v>
      </c>
      <c r="AA23" s="25" t="n">
        <v>1297</v>
      </c>
      <c r="AB23" s="25" t="n">
        <v>4314</v>
      </c>
      <c r="AC23" s="25" t="n">
        <v>440</v>
      </c>
      <c r="AD23" s="25" t="n">
        <v>3874</v>
      </c>
    </row>
    <row r="24" customFormat="false" ht="15.75" hidden="false" customHeight="false" outlineLevel="0" collapsed="false">
      <c r="A24" s="4" t="n">
        <v>45953</v>
      </c>
      <c r="B24" s="13" t="n">
        <v>1804.90799947</v>
      </c>
      <c r="C24" s="13" t="n">
        <v>256.03199993</v>
      </c>
      <c r="D24" s="19" t="n">
        <f aca="false">W25-W24</f>
        <v>76</v>
      </c>
      <c r="E24" s="12" t="n">
        <v>0</v>
      </c>
      <c r="F24" s="19" t="n">
        <f aca="false">X25-X24</f>
        <v>36</v>
      </c>
      <c r="G24" s="12" t="n">
        <v>0</v>
      </c>
      <c r="H24" s="38" t="n">
        <v>120.129032258065</v>
      </c>
      <c r="I24" s="13" t="n">
        <v>51.4838709677419</v>
      </c>
      <c r="J24" s="19" t="n">
        <f aca="false">Z25-Z24</f>
        <v>1</v>
      </c>
      <c r="K24" s="12" t="n">
        <v>0</v>
      </c>
      <c r="L24" s="38" t="n">
        <v>32.5161290322581</v>
      </c>
      <c r="M24" s="13" t="n">
        <v>13.9354838709677</v>
      </c>
      <c r="N24" s="38" t="n">
        <v>260.20799943</v>
      </c>
      <c r="O24" s="13" t="n">
        <v>57.5279999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2</v>
      </c>
      <c r="T24" s="12" t="s">
        <v>51</v>
      </c>
      <c r="U24" s="11"/>
      <c r="V24" s="24" t="n">
        <f aca="false">V23+1</f>
        <v>22</v>
      </c>
      <c r="W24" s="21" t="n">
        <v>14091</v>
      </c>
      <c r="X24" s="21" t="n">
        <v>17567</v>
      </c>
      <c r="Y24" s="21" t="n">
        <v>9874</v>
      </c>
      <c r="Z24" s="21" t="n">
        <v>10897</v>
      </c>
      <c r="AA24" s="21" t="n">
        <v>1298</v>
      </c>
      <c r="AB24" s="21" t="n">
        <v>4341</v>
      </c>
      <c r="AC24" s="21" t="n">
        <v>442</v>
      </c>
      <c r="AD24" s="21" t="n">
        <v>3898</v>
      </c>
    </row>
    <row r="25" customFormat="false" ht="15.75" hidden="false" customHeight="false" outlineLevel="0" collapsed="false">
      <c r="A25" s="4" t="n">
        <v>45954</v>
      </c>
      <c r="B25" s="13" t="n">
        <v>1398.34799958</v>
      </c>
      <c r="C25" s="13" t="n">
        <v>219.40799992</v>
      </c>
      <c r="D25" s="19" t="n">
        <f aca="false">W26-W25</f>
        <v>80</v>
      </c>
      <c r="E25" s="12" t="n">
        <v>0</v>
      </c>
      <c r="F25" s="19" t="n">
        <f aca="false">X26-X25</f>
        <v>37</v>
      </c>
      <c r="G25" s="12" t="n">
        <v>0</v>
      </c>
      <c r="H25" s="38" t="n">
        <v>120.129032258065</v>
      </c>
      <c r="I25" s="13" t="n">
        <v>51.4838709677419</v>
      </c>
      <c r="J25" s="19" t="n">
        <f aca="false">Z26-Z25</f>
        <v>0</v>
      </c>
      <c r="K25" s="12" t="n">
        <v>0</v>
      </c>
      <c r="L25" s="38" t="n">
        <v>32.5161290322581</v>
      </c>
      <c r="M25" s="13" t="n">
        <v>13.9354838709677</v>
      </c>
      <c r="N25" s="38" t="n">
        <v>301.03199927</v>
      </c>
      <c r="O25" s="13" t="n">
        <v>54.4319999</v>
      </c>
      <c r="P25" s="19" t="n">
        <f aca="false">AC26-AC25</f>
        <v>1</v>
      </c>
      <c r="Q25" s="12" t="n">
        <v>0</v>
      </c>
      <c r="R25" s="12" t="n">
        <v>0</v>
      </c>
      <c r="S25" s="19" t="n">
        <f aca="false">AD26-AD25</f>
        <v>3</v>
      </c>
      <c r="T25" s="12" t="s">
        <v>46</v>
      </c>
      <c r="U25" s="11"/>
      <c r="V25" s="24" t="n">
        <f aca="false">V24+1</f>
        <v>23</v>
      </c>
      <c r="W25" s="21" t="n">
        <v>14167</v>
      </c>
      <c r="X25" s="21" t="n">
        <v>17603</v>
      </c>
      <c r="Y25" s="21" t="n">
        <v>9874</v>
      </c>
      <c r="Z25" s="21" t="n">
        <v>10898</v>
      </c>
      <c r="AA25" s="21" t="n">
        <v>1298</v>
      </c>
      <c r="AB25" s="21" t="n">
        <v>4343</v>
      </c>
      <c r="AC25" s="21" t="n">
        <v>442</v>
      </c>
      <c r="AD25" s="21" t="n">
        <v>3900</v>
      </c>
    </row>
    <row r="26" customFormat="false" ht="15.75" hidden="false" customHeight="false" outlineLevel="0" collapsed="false">
      <c r="A26" s="4" t="n">
        <v>45955</v>
      </c>
      <c r="B26" s="13" t="n">
        <v>1327.78799954</v>
      </c>
      <c r="C26" s="13" t="n">
        <v>228.94199995</v>
      </c>
      <c r="D26" s="19" t="n">
        <f aca="false">W27-W26</f>
        <v>55</v>
      </c>
      <c r="E26" s="12" t="n">
        <v>0</v>
      </c>
      <c r="F26" s="19" t="n">
        <f aca="false">X27-X26</f>
        <v>78</v>
      </c>
      <c r="G26" s="12" t="n">
        <v>0</v>
      </c>
      <c r="H26" s="38" t="n">
        <v>120.129032258065</v>
      </c>
      <c r="I26" s="13" t="n">
        <v>51.4838709677419</v>
      </c>
      <c r="J26" s="19" t="n">
        <f aca="false">Z27-Z26</f>
        <v>1</v>
      </c>
      <c r="K26" s="12" t="n">
        <v>0</v>
      </c>
      <c r="L26" s="38" t="n">
        <v>32.5161290322581</v>
      </c>
      <c r="M26" s="13" t="n">
        <v>13.9354838709677</v>
      </c>
      <c r="N26" s="38" t="n">
        <v>342.31199934</v>
      </c>
      <c r="O26" s="13" t="n">
        <v>63.86399993</v>
      </c>
      <c r="P26" s="19" t="n">
        <f aca="false">AC27-AC26</f>
        <v>1</v>
      </c>
      <c r="Q26" s="12" t="n">
        <v>0</v>
      </c>
      <c r="R26" s="12" t="n">
        <v>0</v>
      </c>
      <c r="S26" s="19" t="n">
        <f aca="false">AD27-AD26</f>
        <v>6</v>
      </c>
      <c r="T26" s="12" t="s">
        <v>46</v>
      </c>
      <c r="U26" s="11"/>
      <c r="V26" s="26" t="n">
        <f aca="false">V25+1</f>
        <v>24</v>
      </c>
      <c r="W26" s="27" t="n">
        <v>14247</v>
      </c>
      <c r="X26" s="27" t="n">
        <v>17640</v>
      </c>
      <c r="Y26" s="27" t="n">
        <v>9885</v>
      </c>
      <c r="Z26" s="27" t="n">
        <v>10898</v>
      </c>
      <c r="AA26" s="27" t="n">
        <v>1298</v>
      </c>
      <c r="AB26" s="27" t="n">
        <v>4347</v>
      </c>
      <c r="AC26" s="27" t="n">
        <v>443</v>
      </c>
      <c r="AD26" s="27" t="n">
        <v>3903</v>
      </c>
    </row>
    <row r="27" customFormat="false" ht="15.75" hidden="false" customHeight="false" outlineLevel="0" collapsed="false">
      <c r="A27" s="4" t="n">
        <v>45956</v>
      </c>
      <c r="B27" s="13" t="n">
        <v>1327.91399952</v>
      </c>
      <c r="C27" s="13" t="n">
        <v>249.56399994</v>
      </c>
      <c r="D27" s="19" t="n">
        <f aca="false">W28-W27</f>
        <v>48</v>
      </c>
      <c r="E27" s="12" t="n">
        <v>0</v>
      </c>
      <c r="F27" s="19" t="n">
        <f aca="false">X28-X27</f>
        <v>82</v>
      </c>
      <c r="G27" s="12" t="n">
        <v>0</v>
      </c>
      <c r="H27" s="38" t="n">
        <v>120.129032258065</v>
      </c>
      <c r="I27" s="13" t="n">
        <v>51.4838709677419</v>
      </c>
      <c r="J27" s="19" t="n">
        <f aca="false">Z28-Z27</f>
        <v>1</v>
      </c>
      <c r="K27" s="12" t="n">
        <v>0</v>
      </c>
      <c r="L27" s="38" t="n">
        <v>32.5161290322581</v>
      </c>
      <c r="M27" s="13" t="n">
        <v>13.9354838709677</v>
      </c>
      <c r="N27" s="38" t="n">
        <v>369.47999937</v>
      </c>
      <c r="O27" s="13" t="n">
        <v>76.43999991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3</v>
      </c>
      <c r="T27" s="12" t="s">
        <v>46</v>
      </c>
      <c r="U27" s="11"/>
      <c r="V27" s="24" t="n">
        <f aca="false">V26+1</f>
        <v>25</v>
      </c>
      <c r="W27" s="21" t="n">
        <v>14302</v>
      </c>
      <c r="X27" s="21" t="n">
        <v>17718</v>
      </c>
      <c r="Y27" s="21" t="n">
        <v>9888</v>
      </c>
      <c r="Z27" s="21" t="n">
        <v>10899</v>
      </c>
      <c r="AA27" s="21" t="n">
        <v>1298</v>
      </c>
      <c r="AB27" s="21" t="n">
        <v>4354</v>
      </c>
      <c r="AC27" s="21" t="n">
        <v>444</v>
      </c>
      <c r="AD27" s="21" t="n">
        <v>3909</v>
      </c>
    </row>
    <row r="28" customFormat="false" ht="15.75" hidden="false" customHeight="false" outlineLevel="0" collapsed="false">
      <c r="A28" s="4" t="n">
        <v>45957</v>
      </c>
      <c r="B28" s="13" t="n">
        <v>1937.33399947</v>
      </c>
      <c r="C28" s="13" t="n">
        <v>285.47399992</v>
      </c>
      <c r="D28" s="19" t="n">
        <f aca="false">W29-W28</f>
        <v>11</v>
      </c>
      <c r="E28" s="12" t="n">
        <v>0</v>
      </c>
      <c r="F28" s="19" t="n">
        <f aca="false">X29-X28</f>
        <v>62</v>
      </c>
      <c r="G28" s="12" t="n">
        <v>0</v>
      </c>
      <c r="H28" s="38" t="n">
        <v>120.129032258065</v>
      </c>
      <c r="I28" s="13" t="n">
        <v>51.4838709677419</v>
      </c>
      <c r="J28" s="19" t="n">
        <f aca="false">Z29-Z28</f>
        <v>0</v>
      </c>
      <c r="K28" s="12" t="n">
        <v>0</v>
      </c>
      <c r="L28" s="38" t="n">
        <v>32.5161290322581</v>
      </c>
      <c r="M28" s="13" t="n">
        <v>13.9354838709677</v>
      </c>
      <c r="N28" s="38" t="n">
        <v>332.37599938</v>
      </c>
      <c r="O28" s="13" t="n">
        <v>59.80799989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5</v>
      </c>
      <c r="T28" s="12" t="s">
        <v>52</v>
      </c>
      <c r="U28" s="11"/>
      <c r="V28" s="24" t="n">
        <f aca="false">V27+1</f>
        <v>26</v>
      </c>
      <c r="W28" s="21" t="n">
        <v>14350</v>
      </c>
      <c r="X28" s="21" t="n">
        <v>17800</v>
      </c>
      <c r="Y28" s="21" t="n">
        <v>9892</v>
      </c>
      <c r="Z28" s="21" t="n">
        <v>10900</v>
      </c>
      <c r="AA28" s="21" t="n">
        <v>1299</v>
      </c>
      <c r="AB28" s="21" t="n">
        <v>4356</v>
      </c>
      <c r="AC28" s="21" t="n">
        <v>444</v>
      </c>
      <c r="AD28" s="21" t="n">
        <v>3912</v>
      </c>
    </row>
    <row r="29" customFormat="false" ht="15.75" hidden="false" customHeight="false" outlineLevel="0" collapsed="false">
      <c r="A29" s="4" t="n">
        <v>45958</v>
      </c>
      <c r="B29" s="13" t="n">
        <v>2172.57599952</v>
      </c>
      <c r="C29" s="13" t="n">
        <v>295.25999993</v>
      </c>
      <c r="D29" s="19" t="n">
        <f aca="false">W30-W29</f>
        <v>85</v>
      </c>
      <c r="E29" s="12" t="n">
        <v>0</v>
      </c>
      <c r="F29" s="19" t="n">
        <f aca="false">X30-X29</f>
        <v>273</v>
      </c>
      <c r="G29" s="12" t="n">
        <v>0</v>
      </c>
      <c r="H29" s="38" t="n">
        <v>120.129032258065</v>
      </c>
      <c r="I29" s="13" t="n">
        <v>51.4838709677419</v>
      </c>
      <c r="J29" s="19" t="n">
        <f aca="false">Z30-Z29</f>
        <v>2</v>
      </c>
      <c r="K29" s="12" t="n">
        <v>0</v>
      </c>
      <c r="L29" s="38" t="n">
        <v>32.5161290322581</v>
      </c>
      <c r="M29" s="13" t="n">
        <v>13.9354838709677</v>
      </c>
      <c r="N29" s="38" t="n">
        <v>324.50399941</v>
      </c>
      <c r="O29" s="13" t="n">
        <v>60.55199991</v>
      </c>
      <c r="P29" s="19" t="n">
        <f aca="false">AC30-AC29</f>
        <v>1</v>
      </c>
      <c r="Q29" s="12" t="n">
        <v>0</v>
      </c>
      <c r="R29" s="12" t="n">
        <v>0</v>
      </c>
      <c r="S29" s="19" t="n">
        <f aca="false">AD30-AD29</f>
        <v>7</v>
      </c>
      <c r="T29" s="12" t="s">
        <v>52</v>
      </c>
      <c r="U29" s="11"/>
      <c r="V29" s="24" t="n">
        <f aca="false">V28+1</f>
        <v>27</v>
      </c>
      <c r="W29" s="21" t="n">
        <v>14361</v>
      </c>
      <c r="X29" s="21" t="n">
        <v>17862</v>
      </c>
      <c r="Y29" s="21" t="n">
        <v>9899</v>
      </c>
      <c r="Z29" s="21" t="n">
        <v>10900</v>
      </c>
      <c r="AA29" s="21" t="n">
        <v>1299</v>
      </c>
      <c r="AB29" s="21" t="n">
        <v>4362</v>
      </c>
      <c r="AC29" s="21" t="n">
        <v>444</v>
      </c>
      <c r="AD29" s="21" t="n">
        <v>3917</v>
      </c>
    </row>
    <row r="30" customFormat="false" ht="15.75" hidden="false" customHeight="false" outlineLevel="0" collapsed="false">
      <c r="A30" s="4" t="n">
        <v>45959</v>
      </c>
      <c r="B30" s="13" t="n">
        <v>2328.2279995</v>
      </c>
      <c r="C30" s="13" t="n">
        <v>352.63199993</v>
      </c>
      <c r="D30" s="19" t="n">
        <f aca="false">W31-W30</f>
        <v>113</v>
      </c>
      <c r="E30" s="12" t="n">
        <v>0</v>
      </c>
      <c r="F30" s="19" t="n">
        <f aca="false">X31-X30</f>
        <v>114</v>
      </c>
      <c r="G30" s="12" t="n">
        <v>0</v>
      </c>
      <c r="H30" s="38" t="n">
        <v>120.129032258065</v>
      </c>
      <c r="I30" s="13" t="n">
        <v>51.4838709677419</v>
      </c>
      <c r="J30" s="19" t="n">
        <f aca="false">Z31-Z30</f>
        <v>0</v>
      </c>
      <c r="K30" s="12" t="n">
        <v>0</v>
      </c>
      <c r="L30" s="38" t="n">
        <v>32.5161290322581</v>
      </c>
      <c r="M30" s="13" t="n">
        <v>13.9354838709677</v>
      </c>
      <c r="N30" s="38" t="n">
        <v>402.88799942</v>
      </c>
      <c r="O30" s="13" t="n">
        <v>76.75199989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4</v>
      </c>
      <c r="T30" s="12" t="s">
        <v>52</v>
      </c>
      <c r="U30" s="11"/>
      <c r="V30" s="24" t="n">
        <f aca="false">V29+1</f>
        <v>28</v>
      </c>
      <c r="W30" s="21" t="n">
        <v>14446</v>
      </c>
      <c r="X30" s="21" t="n">
        <v>18135</v>
      </c>
      <c r="Y30" s="21" t="n">
        <v>9903</v>
      </c>
      <c r="Z30" s="21" t="n">
        <v>10902</v>
      </c>
      <c r="AA30" s="21" t="n">
        <v>1300</v>
      </c>
      <c r="AB30" s="21" t="n">
        <v>4369</v>
      </c>
      <c r="AC30" s="21" t="n">
        <v>445</v>
      </c>
      <c r="AD30" s="21" t="n">
        <v>3924</v>
      </c>
    </row>
    <row r="31" customFormat="false" ht="15.75" hidden="false" customHeight="false" outlineLevel="0" collapsed="false">
      <c r="A31" s="4" t="n">
        <v>45960</v>
      </c>
      <c r="B31" s="13" t="n">
        <v>1901.25599952</v>
      </c>
      <c r="C31" s="13" t="n">
        <v>237.21599992</v>
      </c>
      <c r="D31" s="19" t="n">
        <f aca="false">W32-W31</f>
        <v>110</v>
      </c>
      <c r="E31" s="12" t="n">
        <v>0</v>
      </c>
      <c r="F31" s="19" t="n">
        <f aca="false">X32-X31</f>
        <v>138</v>
      </c>
      <c r="G31" s="12" t="n">
        <v>0</v>
      </c>
      <c r="H31" s="38" t="n">
        <v>120.129032258065</v>
      </c>
      <c r="I31" s="13" t="n">
        <v>51.4838709677419</v>
      </c>
      <c r="J31" s="19" t="n">
        <f aca="false">Z32-Z31</f>
        <v>0</v>
      </c>
      <c r="K31" s="12" t="n">
        <v>0</v>
      </c>
      <c r="L31" s="38" t="n">
        <v>32.5161290322581</v>
      </c>
      <c r="M31" s="13" t="n">
        <v>13.9354838709677</v>
      </c>
      <c r="N31" s="38" t="n">
        <v>325.15199937</v>
      </c>
      <c r="O31" s="13" t="n">
        <v>63.83999989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5</v>
      </c>
      <c r="T31" s="12" t="s">
        <v>52</v>
      </c>
      <c r="U31" s="11"/>
      <c r="V31" s="24" t="n">
        <f aca="false">V30+1</f>
        <v>29</v>
      </c>
      <c r="W31" s="21" t="n">
        <v>14559</v>
      </c>
      <c r="X31" s="21" t="n">
        <v>18249</v>
      </c>
      <c r="Y31" s="21" t="n">
        <v>9905</v>
      </c>
      <c r="Z31" s="21" t="n">
        <v>10902</v>
      </c>
      <c r="AA31" s="21" t="n">
        <v>1300</v>
      </c>
      <c r="AB31" s="21" t="n">
        <v>4374</v>
      </c>
      <c r="AC31" s="21" t="n">
        <v>446</v>
      </c>
      <c r="AD31" s="21" t="n">
        <v>3928</v>
      </c>
    </row>
    <row r="32" customFormat="false" ht="15.75" hidden="false" customHeight="false" outlineLevel="0" collapsed="false">
      <c r="A32" s="4" t="n">
        <v>45961</v>
      </c>
      <c r="B32" s="13" t="n">
        <v>1520.27399946</v>
      </c>
      <c r="C32" s="13" t="n">
        <v>234.14999992</v>
      </c>
      <c r="D32" s="19" t="n">
        <f aca="false">W33-W32</f>
        <v>0</v>
      </c>
      <c r="E32" s="12" t="n">
        <v>0</v>
      </c>
      <c r="F32" s="19" t="n">
        <f aca="false">X33-X32</f>
        <v>0</v>
      </c>
      <c r="G32" s="12" t="n">
        <v>0</v>
      </c>
      <c r="H32" s="38" t="n">
        <v>120.129032258065</v>
      </c>
      <c r="I32" s="13" t="n">
        <v>51.4838709677419</v>
      </c>
      <c r="J32" s="19" t="n">
        <f aca="false">Z33-Z32</f>
        <v>0</v>
      </c>
      <c r="K32" s="12" t="n">
        <v>0</v>
      </c>
      <c r="L32" s="38" t="n">
        <v>32.5161290322581</v>
      </c>
      <c r="M32" s="13" t="n">
        <v>13.9354838709677</v>
      </c>
      <c r="N32" s="38" t="n">
        <v>309.26399934</v>
      </c>
      <c r="O32" s="13" t="n">
        <v>59.18399994</v>
      </c>
      <c r="P32" s="19" t="n">
        <f aca="false">AC33-AC32</f>
        <v>0</v>
      </c>
      <c r="Q32" s="12" t="n">
        <v>0</v>
      </c>
      <c r="R32" s="12" t="n">
        <v>0</v>
      </c>
      <c r="S32" s="19" t="n">
        <f aca="false">AD33-AD32</f>
        <v>0</v>
      </c>
      <c r="T32" s="12" t="s">
        <v>52</v>
      </c>
      <c r="U32" s="11"/>
      <c r="V32" s="24" t="n">
        <f aca="false">V31+1</f>
        <v>30</v>
      </c>
      <c r="W32" s="21" t="n">
        <v>14669</v>
      </c>
      <c r="X32" s="21" t="n">
        <v>18387</v>
      </c>
      <c r="Y32" s="21" t="n">
        <v>9911</v>
      </c>
      <c r="Z32" s="21" t="n">
        <v>10902</v>
      </c>
      <c r="AA32" s="21" t="n">
        <v>1300</v>
      </c>
      <c r="AB32" s="21" t="n">
        <v>4380</v>
      </c>
      <c r="AC32" s="21" t="n">
        <v>446</v>
      </c>
      <c r="AD32" s="21" t="n">
        <v>3933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14669</v>
      </c>
      <c r="X33" s="21" t="n">
        <v>18387</v>
      </c>
      <c r="Y33" s="21" t="n">
        <v>9911</v>
      </c>
      <c r="Z33" s="21" t="n">
        <v>10902</v>
      </c>
      <c r="AA33" s="21" t="n">
        <v>1300</v>
      </c>
      <c r="AB33" s="21" t="n">
        <v>4380</v>
      </c>
      <c r="AC33" s="21" t="n">
        <v>446</v>
      </c>
      <c r="AD33" s="21" t="n">
        <v>3933</v>
      </c>
    </row>
    <row r="34" customFormat="false" ht="12.75" hidden="false" customHeight="false" outlineLevel="0" collapsed="false"/>
    <row r="35" customFormat="false" ht="15.75" hidden="false" customHeight="true" outlineLevel="0" collapsed="false">
      <c r="L35" s="39"/>
    </row>
    <row r="36" customFormat="false" ht="15.75" hidden="false" customHeight="false" outlineLevel="0" collapsed="false">
      <c r="A36" s="28"/>
      <c r="B36" s="29"/>
      <c r="C36" s="31"/>
      <c r="D36" s="31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5"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6" min="6" style="1" width="14.42"/>
    <col collapsed="false" customWidth="true" hidden="false" outlineLevel="0" max="7" min="7" style="1" width="14.14"/>
    <col collapsed="false" customWidth="true" hidden="false" outlineLevel="0" max="8" min="8" style="1" width="13.42"/>
    <col collapsed="false" customWidth="true" hidden="false" outlineLevel="0" max="9" min="9" style="1" width="14.14"/>
    <col collapsed="false" customWidth="true" hidden="false" outlineLevel="0" max="10" min="10" style="1" width="14.29"/>
    <col collapsed="false" customWidth="true" hidden="false" outlineLevel="0" max="13" min="13" style="1" width="11.71"/>
    <col collapsed="false" customWidth="true" hidden="false" outlineLevel="0" max="21" min="21" style="1" width="25.85"/>
  </cols>
  <sheetData>
    <row r="1" customFormat="false" ht="15.75" hidden="false" customHeight="false" outlineLevel="0" collapsed="false">
      <c r="A1" s="2" t="s">
        <v>31</v>
      </c>
      <c r="B1" s="2" t="s">
        <v>1</v>
      </c>
      <c r="C1" s="2" t="s">
        <v>2</v>
      </c>
      <c r="D1" s="3" t="s">
        <v>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32</v>
      </c>
      <c r="V1" s="11"/>
      <c r="W1" s="10" t="s">
        <v>31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G1" s="3" t="s">
        <v>41</v>
      </c>
      <c r="AH1" s="3" t="s">
        <v>42</v>
      </c>
    </row>
    <row r="2" customFormat="false" ht="15.75" hidden="false" customHeight="false" outlineLevel="0" collapsed="false">
      <c r="A2" s="4" t="n">
        <v>45901</v>
      </c>
      <c r="B2" s="13" t="n">
        <v>1593.85799951</v>
      </c>
      <c r="C2" s="13" t="n">
        <v>249.64799989</v>
      </c>
      <c r="D2" s="12" t="n">
        <f aca="false">X3-X2</f>
        <v>21</v>
      </c>
      <c r="E2" s="13" t="n">
        <v>14.7</v>
      </c>
      <c r="F2" s="13" t="n">
        <v>6.3</v>
      </c>
      <c r="G2" s="13" t="n">
        <v>42.8571428571429</v>
      </c>
      <c r="H2" s="13" t="n">
        <v>9</v>
      </c>
      <c r="I2" s="13" t="n">
        <v>127.866666666667</v>
      </c>
      <c r="J2" s="13" t="n">
        <v>54.8</v>
      </c>
      <c r="K2" s="13" t="n">
        <v>31.7333333333333</v>
      </c>
      <c r="L2" s="13" t="n">
        <v>13.6</v>
      </c>
      <c r="M2" s="13" t="n">
        <v>33.6</v>
      </c>
      <c r="N2" s="13" t="n">
        <v>14.4</v>
      </c>
      <c r="O2" s="13" t="n">
        <v>264.67199937</v>
      </c>
      <c r="P2" s="13" t="n">
        <v>59.90399992</v>
      </c>
      <c r="Q2" s="12" t="n">
        <f aca="false">AD3-AD2</f>
        <v>0</v>
      </c>
      <c r="R2" s="12" t="n">
        <v>0</v>
      </c>
      <c r="S2" s="12" t="n">
        <v>0</v>
      </c>
      <c r="T2" s="12" t="n">
        <f aca="false">AE3-AE2</f>
        <v>0</v>
      </c>
      <c r="U2" s="12" t="s">
        <v>53</v>
      </c>
      <c r="V2" s="11"/>
      <c r="W2" s="14" t="n">
        <v>0</v>
      </c>
      <c r="X2" s="21" t="n">
        <v>10491</v>
      </c>
      <c r="Y2" s="21" t="n">
        <v>13042</v>
      </c>
      <c r="Z2" s="21" t="n">
        <v>9644</v>
      </c>
      <c r="AA2" s="21" t="n">
        <v>10861</v>
      </c>
      <c r="AB2" s="21" t="n">
        <v>1288</v>
      </c>
      <c r="AC2" s="21" t="n">
        <v>4067</v>
      </c>
      <c r="AD2" s="21" t="n">
        <v>412</v>
      </c>
      <c r="AE2" s="21" t="n">
        <v>3660</v>
      </c>
      <c r="AG2" s="16" t="s">
        <v>44</v>
      </c>
      <c r="AH2" s="17" t="n">
        <f aca="false" t="array" ref="AH2:AH2">_xlfn.IFS(AG2="Verde",0,AG2="Amarela",1.885,AG2="Vermelha P1",4.463,AG2="Vermelha P2",7.877)</f>
        <v>7.877</v>
      </c>
    </row>
    <row r="3" customFormat="false" ht="15.75" hidden="false" customHeight="false" outlineLevel="0" collapsed="false">
      <c r="A3" s="4" t="n">
        <v>45902</v>
      </c>
      <c r="B3" s="13" t="n">
        <v>1671.38999951</v>
      </c>
      <c r="C3" s="13" t="n">
        <v>242.50799992</v>
      </c>
      <c r="D3" s="12" t="n">
        <f aca="false">X4-X3</f>
        <v>84</v>
      </c>
      <c r="E3" s="13" t="n">
        <v>58.8</v>
      </c>
      <c r="F3" s="13" t="n">
        <v>25.2</v>
      </c>
      <c r="G3" s="13" t="n">
        <v>57.1428571428571</v>
      </c>
      <c r="H3" s="13" t="n">
        <v>12</v>
      </c>
      <c r="I3" s="13" t="n">
        <v>127.866666666667</v>
      </c>
      <c r="J3" s="13" t="n">
        <v>54.8</v>
      </c>
      <c r="K3" s="13" t="n">
        <v>31.7333333333333</v>
      </c>
      <c r="L3" s="13" t="n">
        <v>13.6</v>
      </c>
      <c r="M3" s="13" t="n">
        <v>33.6</v>
      </c>
      <c r="N3" s="13" t="n">
        <v>14.4</v>
      </c>
      <c r="O3" s="13" t="n">
        <v>273.28799932</v>
      </c>
      <c r="P3" s="13" t="n">
        <v>57.19199989</v>
      </c>
      <c r="Q3" s="12" t="n">
        <f aca="false">AD4-AD3</f>
        <v>1</v>
      </c>
      <c r="R3" s="12" t="n">
        <v>0</v>
      </c>
      <c r="S3" s="12" t="n">
        <v>0</v>
      </c>
      <c r="T3" s="12" t="n">
        <f aca="false">AE4-AE3</f>
        <v>3</v>
      </c>
      <c r="U3" s="12" t="s">
        <v>53</v>
      </c>
      <c r="V3" s="11"/>
      <c r="W3" s="18" t="n">
        <v>1</v>
      </c>
      <c r="X3" s="19" t="n">
        <v>10512</v>
      </c>
      <c r="Y3" s="19" t="n">
        <v>13072</v>
      </c>
      <c r="Z3" s="19" t="n">
        <v>9649</v>
      </c>
      <c r="AA3" s="19" t="n">
        <v>10861</v>
      </c>
      <c r="AB3" s="19" t="n">
        <v>1288</v>
      </c>
      <c r="AC3" s="19" t="n">
        <v>4072</v>
      </c>
      <c r="AD3" s="19" t="n">
        <v>412</v>
      </c>
      <c r="AE3" s="19" t="n">
        <v>3660</v>
      </c>
    </row>
    <row r="4" customFormat="false" ht="15.75" hidden="false" customHeight="false" outlineLevel="0" collapsed="false">
      <c r="A4" s="4" t="n">
        <v>45903</v>
      </c>
      <c r="B4" s="13" t="n">
        <v>1606.16399955</v>
      </c>
      <c r="C4" s="13" t="n">
        <v>218.3579999</v>
      </c>
      <c r="D4" s="12" t="n">
        <f aca="false">X5-X4</f>
        <v>83</v>
      </c>
      <c r="E4" s="13" t="n">
        <v>58.1</v>
      </c>
      <c r="F4" s="13" t="n">
        <v>24.9</v>
      </c>
      <c r="G4" s="13" t="n">
        <v>75.7142857142857</v>
      </c>
      <c r="H4" s="13" t="n">
        <v>15.9</v>
      </c>
      <c r="I4" s="13" t="n">
        <v>127.866666666667</v>
      </c>
      <c r="J4" s="13" t="n">
        <v>54.8</v>
      </c>
      <c r="K4" s="13" t="n">
        <v>31.7333333333333</v>
      </c>
      <c r="L4" s="13" t="n">
        <v>13.6</v>
      </c>
      <c r="M4" s="13" t="n">
        <v>33.6</v>
      </c>
      <c r="N4" s="13" t="n">
        <v>14.4</v>
      </c>
      <c r="O4" s="13" t="n">
        <v>253.7759994</v>
      </c>
      <c r="P4" s="13" t="n">
        <v>51.26399993</v>
      </c>
      <c r="Q4" s="12" t="n">
        <f aca="false">AD5-AD4</f>
        <v>0</v>
      </c>
      <c r="R4" s="12" t="n">
        <v>0</v>
      </c>
      <c r="S4" s="12" t="n">
        <v>0</v>
      </c>
      <c r="T4" s="12" t="n">
        <f aca="false">AE5-AE4</f>
        <v>3</v>
      </c>
      <c r="U4" s="12" t="s">
        <v>46</v>
      </c>
      <c r="V4" s="11"/>
      <c r="W4" s="20" t="n">
        <f aca="false">W3+1</f>
        <v>2</v>
      </c>
      <c r="X4" s="12" t="n">
        <v>10596</v>
      </c>
      <c r="Y4" s="12" t="n">
        <v>13112</v>
      </c>
      <c r="Z4" s="12" t="n">
        <v>9654</v>
      </c>
      <c r="AA4" s="12" t="n">
        <v>10862</v>
      </c>
      <c r="AB4" s="12" t="n">
        <v>1288</v>
      </c>
      <c r="AC4" s="12" t="n">
        <v>4076</v>
      </c>
      <c r="AD4" s="12" t="n">
        <v>413</v>
      </c>
      <c r="AE4" s="12" t="n">
        <v>3663</v>
      </c>
    </row>
    <row r="5" customFormat="false" ht="15.75" hidden="false" customHeight="false" outlineLevel="0" collapsed="false">
      <c r="A5" s="4" t="n">
        <v>45904</v>
      </c>
      <c r="B5" s="13" t="n">
        <v>1491.08399951</v>
      </c>
      <c r="C5" s="13" t="n">
        <v>224.90999993</v>
      </c>
      <c r="D5" s="12" t="n">
        <f aca="false">X6-X5</f>
        <v>87</v>
      </c>
      <c r="E5" s="13" t="n">
        <v>60.9</v>
      </c>
      <c r="F5" s="13" t="n">
        <v>26.1</v>
      </c>
      <c r="G5" s="13" t="n">
        <v>110</v>
      </c>
      <c r="H5" s="13" t="n">
        <v>23.1</v>
      </c>
      <c r="I5" s="13" t="n">
        <v>127.866666666667</v>
      </c>
      <c r="J5" s="13" t="n">
        <v>54.8</v>
      </c>
      <c r="K5" s="13" t="n">
        <v>31.7333333333333</v>
      </c>
      <c r="L5" s="13" t="n">
        <v>13.6</v>
      </c>
      <c r="M5" s="13" t="n">
        <v>33.6</v>
      </c>
      <c r="N5" s="13" t="n">
        <v>14.4</v>
      </c>
      <c r="O5" s="13" t="n">
        <v>287.20799941</v>
      </c>
      <c r="P5" s="13" t="n">
        <v>59.92799988</v>
      </c>
      <c r="Q5" s="12" t="n">
        <f aca="false">AD6-AD5</f>
        <v>1</v>
      </c>
      <c r="R5" s="12" t="n">
        <v>0</v>
      </c>
      <c r="S5" s="12" t="n">
        <v>0</v>
      </c>
      <c r="T5" s="12" t="n">
        <f aca="false">AE6-AE5</f>
        <v>3</v>
      </c>
      <c r="U5" s="12" t="s">
        <v>53</v>
      </c>
      <c r="V5" s="11"/>
      <c r="W5" s="20" t="n">
        <f aca="false">W4+1</f>
        <v>3</v>
      </c>
      <c r="X5" s="12" t="n">
        <v>10679</v>
      </c>
      <c r="Y5" s="12" t="n">
        <v>13165</v>
      </c>
      <c r="Z5" s="12" t="n">
        <v>9658</v>
      </c>
      <c r="AA5" s="12" t="n">
        <v>10863</v>
      </c>
      <c r="AB5" s="12" t="n">
        <v>1288</v>
      </c>
      <c r="AC5" s="12" t="n">
        <v>4080</v>
      </c>
      <c r="AD5" s="12" t="n">
        <v>413</v>
      </c>
      <c r="AE5" s="12" t="n">
        <v>3666</v>
      </c>
    </row>
    <row r="6" customFormat="false" ht="15.75" hidden="false" customHeight="false" outlineLevel="0" collapsed="false">
      <c r="A6" s="4" t="n">
        <v>45905</v>
      </c>
      <c r="B6" s="13" t="n">
        <v>1345.00799943</v>
      </c>
      <c r="C6" s="13" t="n">
        <v>223.81799995</v>
      </c>
      <c r="D6" s="12" t="n">
        <f aca="false">X7-X6</f>
        <v>65</v>
      </c>
      <c r="E6" s="13" t="n">
        <v>45.5</v>
      </c>
      <c r="F6" s="13" t="n">
        <v>19.5</v>
      </c>
      <c r="G6" s="13" t="n">
        <v>170</v>
      </c>
      <c r="H6" s="13" t="n">
        <v>35.7</v>
      </c>
      <c r="I6" s="13" t="n">
        <v>127.866666666667</v>
      </c>
      <c r="J6" s="13" t="n">
        <v>54.8</v>
      </c>
      <c r="K6" s="13" t="n">
        <v>31.7333333333333</v>
      </c>
      <c r="L6" s="13" t="n">
        <v>13.6</v>
      </c>
      <c r="M6" s="13" t="n">
        <v>33.6</v>
      </c>
      <c r="N6" s="13" t="n">
        <v>14.4</v>
      </c>
      <c r="O6" s="13" t="n">
        <v>299.56799929</v>
      </c>
      <c r="P6" s="13" t="n">
        <v>68.37599989</v>
      </c>
      <c r="Q6" s="12" t="n">
        <f aca="false">AD7-AD6</f>
        <v>0</v>
      </c>
      <c r="R6" s="12" t="n">
        <v>0</v>
      </c>
      <c r="S6" s="12" t="n">
        <v>0</v>
      </c>
      <c r="T6" s="12" t="n">
        <f aca="false">AE7-AE6</f>
        <v>2</v>
      </c>
      <c r="U6" s="12" t="s">
        <v>53</v>
      </c>
      <c r="V6" s="11"/>
      <c r="W6" s="20" t="n">
        <f aca="false">W5+1</f>
        <v>4</v>
      </c>
      <c r="X6" s="12" t="n">
        <v>10766</v>
      </c>
      <c r="Y6" s="12" t="n">
        <v>13242</v>
      </c>
      <c r="Z6" s="12" t="n">
        <v>9661</v>
      </c>
      <c r="AA6" s="12" t="n">
        <v>10864</v>
      </c>
      <c r="AB6" s="12" t="n">
        <v>1288</v>
      </c>
      <c r="AC6" s="12" t="n">
        <v>4084</v>
      </c>
      <c r="AD6" s="12" t="n">
        <v>414</v>
      </c>
      <c r="AE6" s="12" t="n">
        <v>3669</v>
      </c>
    </row>
    <row r="7" customFormat="false" ht="15.75" hidden="false" customHeight="false" outlineLevel="0" collapsed="false">
      <c r="A7" s="4" t="n">
        <v>45906</v>
      </c>
      <c r="B7" s="13" t="n">
        <v>1190.32199949</v>
      </c>
      <c r="C7" s="13" t="n">
        <v>206.59799989</v>
      </c>
      <c r="D7" s="12" t="n">
        <f aca="false">X8-X7</f>
        <v>61</v>
      </c>
      <c r="E7" s="13" t="n">
        <v>42.7</v>
      </c>
      <c r="F7" s="13" t="n">
        <v>18.3</v>
      </c>
      <c r="G7" s="13" t="n">
        <v>47.1428571428571</v>
      </c>
      <c r="H7" s="13" t="n">
        <v>9.9</v>
      </c>
      <c r="I7" s="13" t="n">
        <v>127.866666666667</v>
      </c>
      <c r="J7" s="13" t="n">
        <v>54.8</v>
      </c>
      <c r="K7" s="13" t="n">
        <v>31.7333333333333</v>
      </c>
      <c r="L7" s="13" t="n">
        <v>13.6</v>
      </c>
      <c r="M7" s="13" t="n">
        <v>33.6</v>
      </c>
      <c r="N7" s="13" t="n">
        <v>14.4</v>
      </c>
      <c r="O7" s="13" t="n">
        <v>345.62399931</v>
      </c>
      <c r="P7" s="13" t="n">
        <v>74.30399991</v>
      </c>
      <c r="Q7" s="12" t="n">
        <f aca="false">AD8-AD7</f>
        <v>1</v>
      </c>
      <c r="R7" s="12" t="n">
        <v>0</v>
      </c>
      <c r="S7" s="12" t="n">
        <v>0</v>
      </c>
      <c r="T7" s="12" t="n">
        <f aca="false">AE8-AE7</f>
        <v>6</v>
      </c>
      <c r="U7" s="12" t="s">
        <v>46</v>
      </c>
      <c r="V7" s="11"/>
      <c r="W7" s="20" t="n">
        <f aca="false">W6+1</f>
        <v>5</v>
      </c>
      <c r="X7" s="12" t="n">
        <v>10831</v>
      </c>
      <c r="Y7" s="12" t="n">
        <v>13361</v>
      </c>
      <c r="Z7" s="12" t="n">
        <v>9666</v>
      </c>
      <c r="AA7" s="12" t="n">
        <v>10864</v>
      </c>
      <c r="AB7" s="12" t="n">
        <v>1289</v>
      </c>
      <c r="AC7" s="12" t="n">
        <v>4086</v>
      </c>
      <c r="AD7" s="12" t="n">
        <v>414</v>
      </c>
      <c r="AE7" s="12" t="n">
        <v>3671</v>
      </c>
    </row>
    <row r="8" customFormat="false" ht="15.75" hidden="false" customHeight="false" outlineLevel="0" collapsed="false">
      <c r="A8" s="4" t="n">
        <v>45907</v>
      </c>
      <c r="B8" s="13" t="n">
        <v>1284.48599956</v>
      </c>
      <c r="C8" s="13" t="n">
        <v>230.15999995</v>
      </c>
      <c r="D8" s="12" t="n">
        <f aca="false">X9-X8</f>
        <v>13</v>
      </c>
      <c r="E8" s="13" t="n">
        <v>9.1</v>
      </c>
      <c r="F8" s="13" t="n">
        <v>3.9</v>
      </c>
      <c r="G8" s="13" t="n">
        <v>74.2857142857143</v>
      </c>
      <c r="H8" s="13" t="n">
        <v>15.6</v>
      </c>
      <c r="I8" s="13" t="n">
        <v>127.866666666667</v>
      </c>
      <c r="J8" s="13" t="n">
        <v>54.8</v>
      </c>
      <c r="K8" s="13" t="n">
        <v>31.7333333333333</v>
      </c>
      <c r="L8" s="13" t="n">
        <v>13.6</v>
      </c>
      <c r="M8" s="13" t="n">
        <v>33.6</v>
      </c>
      <c r="N8" s="13" t="n">
        <v>14.4</v>
      </c>
      <c r="O8" s="13" t="n">
        <v>368.15999934</v>
      </c>
      <c r="P8" s="13" t="n">
        <v>63.81599993</v>
      </c>
      <c r="Q8" s="12" t="n">
        <f aca="false">AD9-AD8</f>
        <v>0</v>
      </c>
      <c r="R8" s="12" t="n">
        <v>0</v>
      </c>
      <c r="S8" s="12" t="n">
        <v>0</v>
      </c>
      <c r="T8" s="12" t="n">
        <f aca="false">AE9-AE8</f>
        <v>3</v>
      </c>
      <c r="U8" s="12" t="s">
        <v>54</v>
      </c>
      <c r="V8" s="11"/>
      <c r="W8" s="20" t="n">
        <f aca="false">W7+1</f>
        <v>6</v>
      </c>
      <c r="X8" s="12" t="n">
        <v>10892</v>
      </c>
      <c r="Y8" s="12" t="n">
        <v>13394</v>
      </c>
      <c r="Z8" s="12" t="n">
        <v>9671</v>
      </c>
      <c r="AA8" s="12" t="n">
        <v>10865</v>
      </c>
      <c r="AB8" s="12" t="n">
        <v>1289</v>
      </c>
      <c r="AC8" s="12" t="n">
        <v>4093</v>
      </c>
      <c r="AD8" s="12" t="n">
        <v>415</v>
      </c>
      <c r="AE8" s="12" t="n">
        <v>3677</v>
      </c>
    </row>
    <row r="9" customFormat="false" ht="15.75" hidden="false" customHeight="false" outlineLevel="0" collapsed="false">
      <c r="A9" s="4" t="n">
        <v>45908</v>
      </c>
      <c r="B9" s="13" t="n">
        <v>1645.85399951</v>
      </c>
      <c r="C9" s="13" t="n">
        <v>242.92799993</v>
      </c>
      <c r="D9" s="12" t="n">
        <f aca="false">X10-X9</f>
        <v>35</v>
      </c>
      <c r="E9" s="13" t="n">
        <v>24.5</v>
      </c>
      <c r="F9" s="13" t="n">
        <v>10.5</v>
      </c>
      <c r="G9" s="13" t="n">
        <v>0</v>
      </c>
      <c r="H9" s="13" t="n">
        <v>0</v>
      </c>
      <c r="I9" s="13" t="n">
        <v>127.866666666667</v>
      </c>
      <c r="J9" s="13" t="n">
        <v>54.8</v>
      </c>
      <c r="K9" s="13" t="n">
        <v>31.7333333333333</v>
      </c>
      <c r="L9" s="13" t="n">
        <v>13.6</v>
      </c>
      <c r="M9" s="13" t="n">
        <v>33.6</v>
      </c>
      <c r="N9" s="13" t="n">
        <v>14.4</v>
      </c>
      <c r="O9" s="13" t="n">
        <v>341.30399937</v>
      </c>
      <c r="P9" s="13" t="n">
        <v>63.21599988</v>
      </c>
      <c r="Q9" s="12" t="n">
        <f aca="false">AD10-AD9</f>
        <v>0</v>
      </c>
      <c r="R9" s="12" t="n">
        <v>0</v>
      </c>
      <c r="S9" s="12" t="n">
        <v>0</v>
      </c>
      <c r="T9" s="12" t="n">
        <f aca="false">AE10-AE9</f>
        <v>6</v>
      </c>
      <c r="U9" s="12" t="s">
        <v>55</v>
      </c>
      <c r="V9" s="11"/>
      <c r="W9" s="20" t="n">
        <f aca="false">W8+1</f>
        <v>7</v>
      </c>
      <c r="X9" s="12" t="n">
        <v>10905</v>
      </c>
      <c r="Y9" s="12" t="n">
        <v>13446</v>
      </c>
      <c r="Z9" s="12" t="n">
        <v>9677</v>
      </c>
      <c r="AA9" s="12" t="n">
        <v>10866</v>
      </c>
      <c r="AB9" s="12" t="n">
        <v>1289</v>
      </c>
      <c r="AC9" s="12" t="n">
        <v>4096</v>
      </c>
      <c r="AD9" s="12" t="n">
        <v>415</v>
      </c>
      <c r="AE9" s="12" t="n">
        <v>3680</v>
      </c>
    </row>
    <row r="10" customFormat="false" ht="15.75" hidden="false" customHeight="false" outlineLevel="0" collapsed="false">
      <c r="A10" s="4" t="n">
        <v>45909</v>
      </c>
      <c r="B10" s="13" t="n">
        <v>2031.66599944</v>
      </c>
      <c r="C10" s="13" t="n">
        <v>319.91399991</v>
      </c>
      <c r="D10" s="12" t="n">
        <f aca="false">X11-X10</f>
        <v>95</v>
      </c>
      <c r="E10" s="13" t="n">
        <v>66.5</v>
      </c>
      <c r="F10" s="13" t="n">
        <v>28.5</v>
      </c>
      <c r="G10" s="13" t="n">
        <v>211.428571428571</v>
      </c>
      <c r="H10" s="13" t="n">
        <v>44.4</v>
      </c>
      <c r="I10" s="13" t="n">
        <v>127.866666666667</v>
      </c>
      <c r="J10" s="13" t="n">
        <v>54.8</v>
      </c>
      <c r="K10" s="13" t="n">
        <v>31.7333333333333</v>
      </c>
      <c r="L10" s="13" t="n">
        <v>13.6</v>
      </c>
      <c r="M10" s="13" t="n">
        <v>33.6</v>
      </c>
      <c r="N10" s="13" t="n">
        <v>14.4</v>
      </c>
      <c r="O10" s="13" t="n">
        <v>331.72799934</v>
      </c>
      <c r="P10" s="13" t="n">
        <v>68.39999992</v>
      </c>
      <c r="Q10" s="12" t="n">
        <f aca="false">AD11-AD10</f>
        <v>1</v>
      </c>
      <c r="R10" s="12" t="n">
        <v>0</v>
      </c>
      <c r="S10" s="12" t="n">
        <v>0</v>
      </c>
      <c r="T10" s="12" t="n">
        <f aca="false">AE11-AE10</f>
        <v>5</v>
      </c>
      <c r="U10" s="12" t="s">
        <v>56</v>
      </c>
      <c r="V10" s="11"/>
      <c r="W10" s="20" t="n">
        <f aca="false">W9+1</f>
        <v>8</v>
      </c>
      <c r="X10" s="12" t="n">
        <v>10940</v>
      </c>
      <c r="Y10" s="12" t="n">
        <v>13446</v>
      </c>
      <c r="Z10" s="12" t="n">
        <v>9682</v>
      </c>
      <c r="AA10" s="12" t="n">
        <v>10867</v>
      </c>
      <c r="AB10" s="12" t="n">
        <v>1289</v>
      </c>
      <c r="AC10" s="12" t="n">
        <v>4102</v>
      </c>
      <c r="AD10" s="12" t="n">
        <v>415</v>
      </c>
      <c r="AE10" s="12" t="n">
        <v>3686</v>
      </c>
    </row>
    <row r="11" customFormat="false" ht="15.75" hidden="false" customHeight="false" outlineLevel="0" collapsed="false">
      <c r="A11" s="4" t="n">
        <v>45910</v>
      </c>
      <c r="B11" s="13" t="n">
        <v>2039.51999951</v>
      </c>
      <c r="C11" s="13" t="n">
        <v>273.16799993</v>
      </c>
      <c r="D11" s="12" t="n">
        <f aca="false">X12-X11</f>
        <v>88</v>
      </c>
      <c r="E11" s="13" t="n">
        <v>61.6</v>
      </c>
      <c r="F11" s="13" t="n">
        <v>26.4</v>
      </c>
      <c r="G11" s="13" t="n">
        <v>152.857142857143</v>
      </c>
      <c r="H11" s="13" t="n">
        <v>32.1</v>
      </c>
      <c r="I11" s="13" t="n">
        <v>127.866666666667</v>
      </c>
      <c r="J11" s="13" t="n">
        <v>54.8</v>
      </c>
      <c r="K11" s="13" t="n">
        <v>31.7333333333333</v>
      </c>
      <c r="L11" s="13" t="n">
        <v>13.6</v>
      </c>
      <c r="M11" s="13" t="n">
        <v>33.6</v>
      </c>
      <c r="N11" s="13" t="n">
        <v>14.4</v>
      </c>
      <c r="O11" s="13" t="n">
        <v>304.91999933</v>
      </c>
      <c r="P11" s="13" t="n">
        <v>64.46399988</v>
      </c>
      <c r="Q11" s="12" t="n">
        <f aca="false">AD12-AD11</f>
        <v>1</v>
      </c>
      <c r="R11" s="12" t="n">
        <v>0</v>
      </c>
      <c r="S11" s="12" t="n">
        <v>0</v>
      </c>
      <c r="T11" s="12" t="n">
        <f aca="false">AE12-AE11</f>
        <v>5</v>
      </c>
      <c r="U11" s="12" t="s">
        <v>57</v>
      </c>
      <c r="V11" s="11"/>
      <c r="W11" s="20" t="n">
        <f aca="false">W10+1</f>
        <v>9</v>
      </c>
      <c r="X11" s="21" t="n">
        <v>11035</v>
      </c>
      <c r="Y11" s="21" t="n">
        <v>13594</v>
      </c>
      <c r="Z11" s="21" t="n">
        <v>9686</v>
      </c>
      <c r="AA11" s="21" t="n">
        <v>10867</v>
      </c>
      <c r="AB11" s="21" t="n">
        <v>1289</v>
      </c>
      <c r="AC11" s="21" t="n">
        <v>4107</v>
      </c>
      <c r="AD11" s="21" t="n">
        <v>416</v>
      </c>
      <c r="AE11" s="21" t="n">
        <v>3691</v>
      </c>
    </row>
    <row r="12" customFormat="false" ht="15.75" hidden="false" customHeight="false" outlineLevel="0" collapsed="false">
      <c r="A12" s="4" t="n">
        <v>45911</v>
      </c>
      <c r="B12" s="13" t="n">
        <v>2072.69999941</v>
      </c>
      <c r="C12" s="13" t="n">
        <v>308.19599991</v>
      </c>
      <c r="D12" s="12" t="n">
        <f aca="false">X13-X12</f>
        <v>130</v>
      </c>
      <c r="E12" s="13" t="n">
        <v>91</v>
      </c>
      <c r="F12" s="13" t="n">
        <v>39</v>
      </c>
      <c r="G12" s="13" t="n">
        <v>124.285714285714</v>
      </c>
      <c r="H12" s="13" t="n">
        <v>26.1</v>
      </c>
      <c r="I12" s="13" t="n">
        <v>127.866666666667</v>
      </c>
      <c r="J12" s="13" t="n">
        <v>54.8</v>
      </c>
      <c r="K12" s="13" t="n">
        <v>31.7333333333333</v>
      </c>
      <c r="L12" s="13" t="n">
        <v>13.6</v>
      </c>
      <c r="M12" s="13" t="n">
        <v>33.6</v>
      </c>
      <c r="N12" s="13" t="n">
        <v>14.4</v>
      </c>
      <c r="O12" s="13" t="n">
        <v>337.75199939</v>
      </c>
      <c r="P12" s="13" t="n">
        <v>71.42399991</v>
      </c>
      <c r="Q12" s="12" t="n">
        <f aca="false">AD13-AD12</f>
        <v>1</v>
      </c>
      <c r="R12" s="12" t="n">
        <v>0</v>
      </c>
      <c r="S12" s="12" t="n">
        <v>0</v>
      </c>
      <c r="T12" s="12" t="n">
        <f aca="false">AE13-AE12</f>
        <v>3</v>
      </c>
      <c r="U12" s="12" t="s">
        <v>56</v>
      </c>
      <c r="V12" s="11"/>
      <c r="W12" s="20" t="n">
        <f aca="false">W11+1</f>
        <v>10</v>
      </c>
      <c r="X12" s="12" t="n">
        <v>11123</v>
      </c>
      <c r="Y12" s="12" t="n">
        <v>13701</v>
      </c>
      <c r="Z12" s="12" t="n">
        <v>9689</v>
      </c>
      <c r="AA12" s="12" t="n">
        <v>10868</v>
      </c>
      <c r="AB12" s="12" t="n">
        <v>1290</v>
      </c>
      <c r="AC12" s="12" t="n">
        <v>4114</v>
      </c>
      <c r="AD12" s="12" t="n">
        <v>417</v>
      </c>
      <c r="AE12" s="12" t="n">
        <v>3696</v>
      </c>
    </row>
    <row r="13" customFormat="false" ht="15.75" hidden="false" customHeight="false" outlineLevel="0" collapsed="false">
      <c r="A13" s="4" t="n">
        <v>45912</v>
      </c>
      <c r="B13" s="13" t="n">
        <v>1604.31599945</v>
      </c>
      <c r="C13" s="13" t="n">
        <v>236.20799995</v>
      </c>
      <c r="D13" s="12" t="n">
        <f aca="false">X14-X13</f>
        <v>100</v>
      </c>
      <c r="E13" s="13" t="n">
        <v>70</v>
      </c>
      <c r="F13" s="13" t="n">
        <v>30</v>
      </c>
      <c r="G13" s="13" t="n">
        <v>152.857142857143</v>
      </c>
      <c r="H13" s="13" t="n">
        <v>32.1</v>
      </c>
      <c r="I13" s="13" t="n">
        <v>127.866666666667</v>
      </c>
      <c r="J13" s="13" t="n">
        <v>54.8</v>
      </c>
      <c r="K13" s="13" t="n">
        <v>31.7333333333333</v>
      </c>
      <c r="L13" s="13" t="n">
        <v>13.6</v>
      </c>
      <c r="M13" s="13" t="n">
        <v>33.6</v>
      </c>
      <c r="N13" s="13" t="n">
        <v>14.4</v>
      </c>
      <c r="O13" s="13" t="n">
        <v>385.96799933</v>
      </c>
      <c r="P13" s="13" t="n">
        <v>81.47999989</v>
      </c>
      <c r="Q13" s="12" t="n">
        <f aca="false">AD14-AD13</f>
        <v>1</v>
      </c>
      <c r="R13" s="12" t="n">
        <v>0</v>
      </c>
      <c r="S13" s="12" t="n">
        <v>0</v>
      </c>
      <c r="T13" s="12" t="n">
        <f aca="false">AE14-AE13</f>
        <v>6</v>
      </c>
      <c r="U13" s="12" t="s">
        <v>58</v>
      </c>
      <c r="V13" s="11"/>
      <c r="W13" s="20" t="n">
        <f aca="false">W12+1</f>
        <v>11</v>
      </c>
      <c r="X13" s="21" t="n">
        <v>11253</v>
      </c>
      <c r="Y13" s="21" t="n">
        <v>13788</v>
      </c>
      <c r="Z13" s="21" t="n">
        <v>9692</v>
      </c>
      <c r="AA13" s="21" t="n">
        <v>10860</v>
      </c>
      <c r="AB13" s="21" t="n">
        <v>1290</v>
      </c>
      <c r="AC13" s="21" t="n">
        <v>4117</v>
      </c>
      <c r="AD13" s="21" t="n">
        <v>418</v>
      </c>
      <c r="AE13" s="21" t="n">
        <v>3699</v>
      </c>
    </row>
    <row r="14" customFormat="false" ht="15.75" hidden="false" customHeight="false" outlineLevel="0" collapsed="false">
      <c r="A14" s="4" t="n">
        <v>45913</v>
      </c>
      <c r="B14" s="13" t="n">
        <v>1223.75399949</v>
      </c>
      <c r="C14" s="13" t="n">
        <v>202.43999993</v>
      </c>
      <c r="D14" s="12" t="n">
        <f aca="false">X15-X14</f>
        <v>87</v>
      </c>
      <c r="E14" s="13" t="n">
        <v>60.9</v>
      </c>
      <c r="F14" s="13" t="n">
        <v>26.1</v>
      </c>
      <c r="G14" s="13" t="n">
        <v>48.5714285714286</v>
      </c>
      <c r="H14" s="13" t="n">
        <v>10.2</v>
      </c>
      <c r="I14" s="13" t="n">
        <v>127.866666666667</v>
      </c>
      <c r="J14" s="13" t="n">
        <v>54.8</v>
      </c>
      <c r="K14" s="13" t="n">
        <v>31.7333333333333</v>
      </c>
      <c r="L14" s="13" t="n">
        <v>13.6</v>
      </c>
      <c r="M14" s="13" t="n">
        <v>33.6</v>
      </c>
      <c r="N14" s="13" t="n">
        <v>14.4</v>
      </c>
      <c r="O14" s="13" t="n">
        <v>367.96799933</v>
      </c>
      <c r="P14" s="13" t="n">
        <v>73.6319999</v>
      </c>
      <c r="Q14" s="12" t="n">
        <f aca="false">AD15-AD14</f>
        <v>0</v>
      </c>
      <c r="R14" s="12" t="n">
        <v>0</v>
      </c>
      <c r="S14" s="12" t="n">
        <v>0</v>
      </c>
      <c r="T14" s="12" t="n">
        <f aca="false">AE15-AE14</f>
        <v>5</v>
      </c>
      <c r="U14" s="12" t="s">
        <v>46</v>
      </c>
      <c r="V14" s="11"/>
      <c r="W14" s="20" t="n">
        <f aca="false">W13+1</f>
        <v>12</v>
      </c>
      <c r="X14" s="12" t="n">
        <v>11353</v>
      </c>
      <c r="Y14" s="12" t="n">
        <v>13895</v>
      </c>
      <c r="Z14" s="12" t="n">
        <v>9695</v>
      </c>
      <c r="AA14" s="12" t="n">
        <v>10870</v>
      </c>
      <c r="AB14" s="12" t="n">
        <v>1290</v>
      </c>
      <c r="AC14" s="12" t="n">
        <v>4124</v>
      </c>
      <c r="AD14" s="12" t="n">
        <v>419</v>
      </c>
      <c r="AE14" s="12" t="n">
        <v>3705</v>
      </c>
    </row>
    <row r="15" customFormat="false" ht="15.75" hidden="false" customHeight="false" outlineLevel="0" collapsed="false">
      <c r="A15" s="4" t="n">
        <v>45914</v>
      </c>
      <c r="B15" s="13" t="n">
        <v>1271.96999951</v>
      </c>
      <c r="C15" s="13" t="n">
        <v>223.60799988</v>
      </c>
      <c r="D15" s="12" t="n">
        <f aca="false">X16-X15</f>
        <v>69</v>
      </c>
      <c r="E15" s="13" t="n">
        <v>48.3</v>
      </c>
      <c r="F15" s="13" t="n">
        <v>20.7</v>
      </c>
      <c r="G15" s="13" t="n">
        <v>112.857142857143</v>
      </c>
      <c r="H15" s="13" t="n">
        <v>23.7</v>
      </c>
      <c r="I15" s="13" t="n">
        <v>127.866666666667</v>
      </c>
      <c r="J15" s="13" t="n">
        <v>54.8</v>
      </c>
      <c r="K15" s="13" t="n">
        <v>31.7333333333333</v>
      </c>
      <c r="L15" s="13" t="n">
        <v>13.6</v>
      </c>
      <c r="M15" s="13" t="n">
        <v>33.6</v>
      </c>
      <c r="N15" s="13" t="n">
        <v>14.4</v>
      </c>
      <c r="O15" s="13" t="n">
        <v>400.39199937</v>
      </c>
      <c r="P15" s="13" t="n">
        <v>87.52799991</v>
      </c>
      <c r="Q15" s="12" t="n">
        <f aca="false">AD16-AD15</f>
        <v>0</v>
      </c>
      <c r="R15" s="12" t="n">
        <v>0</v>
      </c>
      <c r="S15" s="12" t="n">
        <v>0</v>
      </c>
      <c r="T15" s="12" t="n">
        <f aca="false">AE16-AE15</f>
        <v>5</v>
      </c>
      <c r="U15" s="12" t="s">
        <v>46</v>
      </c>
      <c r="V15" s="11"/>
      <c r="W15" s="20" t="n">
        <f aca="false">W14+1</f>
        <v>13</v>
      </c>
      <c r="X15" s="12" t="n">
        <v>11440</v>
      </c>
      <c r="Y15" s="12" t="n">
        <v>13929</v>
      </c>
      <c r="Z15" s="12" t="n">
        <v>9697</v>
      </c>
      <c r="AA15" s="12" t="n">
        <v>10871</v>
      </c>
      <c r="AB15" s="12" t="n">
        <v>1290</v>
      </c>
      <c r="AC15" s="12" t="n">
        <v>4129</v>
      </c>
      <c r="AD15" s="12" t="n">
        <v>419</v>
      </c>
      <c r="AE15" s="12" t="n">
        <v>3710</v>
      </c>
    </row>
    <row r="16" customFormat="false" ht="15.75" hidden="false" customHeight="false" outlineLevel="0" collapsed="false">
      <c r="A16" s="4" t="n">
        <v>45915</v>
      </c>
      <c r="B16" s="13" t="n">
        <v>1955.85599944</v>
      </c>
      <c r="C16" s="13" t="n">
        <v>270.10199995</v>
      </c>
      <c r="D16" s="12" t="n">
        <f aca="false">X17-X16</f>
        <v>27</v>
      </c>
      <c r="E16" s="13" t="n">
        <v>18.9</v>
      </c>
      <c r="F16" s="13" t="n">
        <v>8.1</v>
      </c>
      <c r="G16" s="13" t="n">
        <v>54.2857142857143</v>
      </c>
      <c r="H16" s="13" t="n">
        <v>11.4</v>
      </c>
      <c r="I16" s="13" t="n">
        <v>127.866666666667</v>
      </c>
      <c r="J16" s="13" t="n">
        <v>54.8</v>
      </c>
      <c r="K16" s="13" t="n">
        <v>31.7333333333333</v>
      </c>
      <c r="L16" s="13" t="n">
        <v>13.6</v>
      </c>
      <c r="M16" s="13" t="n">
        <v>33.6</v>
      </c>
      <c r="N16" s="13" t="n">
        <v>14.4</v>
      </c>
      <c r="O16" s="13" t="n">
        <v>406.27199932</v>
      </c>
      <c r="P16" s="13" t="n">
        <v>77.61599991</v>
      </c>
      <c r="Q16" s="12" t="n">
        <f aca="false">AD17-AD16</f>
        <v>0</v>
      </c>
      <c r="R16" s="12" t="n">
        <v>0</v>
      </c>
      <c r="S16" s="12" t="n">
        <v>0</v>
      </c>
      <c r="T16" s="12" t="n">
        <f aca="false">AE17-AE16</f>
        <v>6</v>
      </c>
      <c r="U16" s="12" t="s">
        <v>46</v>
      </c>
      <c r="V16" s="11"/>
      <c r="W16" s="20" t="n">
        <f aca="false">W15+1</f>
        <v>14</v>
      </c>
      <c r="X16" s="22" t="n">
        <v>11509</v>
      </c>
      <c r="Y16" s="22" t="n">
        <v>14008</v>
      </c>
      <c r="Z16" s="22" t="n">
        <v>9702</v>
      </c>
      <c r="AA16" s="22" t="n">
        <v>10871</v>
      </c>
      <c r="AB16" s="22" t="n">
        <v>1290</v>
      </c>
      <c r="AC16" s="22" t="n">
        <v>4135</v>
      </c>
      <c r="AD16" s="22" t="n">
        <v>419</v>
      </c>
      <c r="AE16" s="22" t="n">
        <v>3715</v>
      </c>
    </row>
    <row r="17" customFormat="false" ht="15.75" hidden="false" customHeight="false" outlineLevel="0" collapsed="false">
      <c r="A17" s="4" t="n">
        <v>45916</v>
      </c>
      <c r="B17" s="13" t="n">
        <v>2078.36999947</v>
      </c>
      <c r="C17" s="13" t="n">
        <v>285.47399988</v>
      </c>
      <c r="D17" s="12" t="n">
        <f aca="false">X18-X17</f>
        <v>100</v>
      </c>
      <c r="E17" s="13" t="n">
        <v>70</v>
      </c>
      <c r="F17" s="13" t="n">
        <v>30</v>
      </c>
      <c r="G17" s="13" t="n">
        <v>115.714285714286</v>
      </c>
      <c r="H17" s="13" t="n">
        <v>24.3</v>
      </c>
      <c r="I17" s="13" t="n">
        <v>127.866666666667</v>
      </c>
      <c r="J17" s="13" t="n">
        <v>54.8</v>
      </c>
      <c r="K17" s="13" t="n">
        <v>31.7333333333333</v>
      </c>
      <c r="L17" s="13" t="n">
        <v>13.6</v>
      </c>
      <c r="M17" s="13" t="n">
        <v>33.6</v>
      </c>
      <c r="N17" s="13" t="n">
        <v>14.4</v>
      </c>
      <c r="O17" s="13" t="n">
        <v>405.19199943</v>
      </c>
      <c r="P17" s="13" t="n">
        <v>81.23999989</v>
      </c>
      <c r="Q17" s="12" t="n">
        <f aca="false">AD18-AD17</f>
        <v>1</v>
      </c>
      <c r="R17" s="12" t="n">
        <v>0</v>
      </c>
      <c r="S17" s="12" t="n">
        <v>0</v>
      </c>
      <c r="T17" s="12" t="n">
        <f aca="false">AE18-AE17</f>
        <v>6</v>
      </c>
      <c r="U17" s="12" t="s">
        <v>46</v>
      </c>
      <c r="V17" s="11"/>
      <c r="W17" s="20" t="n">
        <f aca="false">W16+1</f>
        <v>15</v>
      </c>
      <c r="X17" s="22" t="n">
        <v>11536</v>
      </c>
      <c r="Y17" s="22" t="n">
        <v>14046</v>
      </c>
      <c r="Z17" s="22" t="n">
        <v>9709</v>
      </c>
      <c r="AA17" s="22" t="n">
        <v>10872</v>
      </c>
      <c r="AB17" s="22" t="n">
        <v>1290</v>
      </c>
      <c r="AC17" s="22" t="n">
        <v>4141</v>
      </c>
      <c r="AD17" s="22" t="n">
        <v>419</v>
      </c>
      <c r="AE17" s="22" t="n">
        <v>3721</v>
      </c>
    </row>
    <row r="18" customFormat="false" ht="15.75" hidden="false" customHeight="false" outlineLevel="0" collapsed="false">
      <c r="A18" s="4" t="n">
        <v>45917</v>
      </c>
      <c r="B18" s="13" t="n">
        <v>2110.33199946</v>
      </c>
      <c r="C18" s="13" t="n">
        <v>284.6339999</v>
      </c>
      <c r="D18" s="12" t="n">
        <f aca="false">X19-X18</f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127.866666666667</v>
      </c>
      <c r="J18" s="13" t="n">
        <v>54.8</v>
      </c>
      <c r="K18" s="13" t="n">
        <v>31.7333333333333</v>
      </c>
      <c r="L18" s="13" t="n">
        <v>13.6</v>
      </c>
      <c r="M18" s="13" t="n">
        <v>33.6</v>
      </c>
      <c r="N18" s="13" t="n">
        <v>14.4</v>
      </c>
      <c r="O18" s="13" t="n">
        <v>423.69599937</v>
      </c>
      <c r="P18" s="13" t="n">
        <v>76.79999991</v>
      </c>
      <c r="Q18" s="12" t="n">
        <f aca="false">AD19-AD18</f>
        <v>0</v>
      </c>
      <c r="R18" s="12" t="n">
        <v>0</v>
      </c>
      <c r="S18" s="12" t="n">
        <v>0</v>
      </c>
      <c r="T18" s="12" t="n">
        <f aca="false">AE19-AE18</f>
        <v>0</v>
      </c>
      <c r="U18" s="12" t="s">
        <v>46</v>
      </c>
      <c r="V18" s="11"/>
      <c r="W18" s="20" t="n">
        <f aca="false">W17+1</f>
        <v>16</v>
      </c>
      <c r="X18" s="22" t="n">
        <v>11636</v>
      </c>
      <c r="Y18" s="22" t="n">
        <v>14127</v>
      </c>
      <c r="Z18" s="22" t="n">
        <v>9710</v>
      </c>
      <c r="AA18" s="22" t="n">
        <v>10872</v>
      </c>
      <c r="AB18" s="22" t="n">
        <v>1291</v>
      </c>
      <c r="AC18" s="22" t="n">
        <v>4148</v>
      </c>
      <c r="AD18" s="22" t="n">
        <v>420</v>
      </c>
      <c r="AE18" s="22" t="n">
        <v>3727</v>
      </c>
    </row>
    <row r="19" customFormat="false" ht="15.75" hidden="false" customHeight="false" outlineLevel="0" collapsed="false">
      <c r="A19" s="4" t="n">
        <v>45918</v>
      </c>
      <c r="B19" s="13" t="n">
        <v>2201.17799948</v>
      </c>
      <c r="C19" s="13" t="n">
        <v>305.33999991</v>
      </c>
      <c r="D19" s="12" t="n">
        <f aca="false">X20-X19</f>
        <v>213</v>
      </c>
      <c r="E19" s="13" t="n">
        <v>149.1</v>
      </c>
      <c r="F19" s="13" t="n">
        <v>63.9</v>
      </c>
      <c r="G19" s="13" t="n">
        <v>261.428571428571</v>
      </c>
      <c r="H19" s="13" t="n">
        <v>54.9</v>
      </c>
      <c r="I19" s="13" t="n">
        <v>127.866666666667</v>
      </c>
      <c r="J19" s="13" t="n">
        <v>54.8</v>
      </c>
      <c r="K19" s="13" t="n">
        <v>31.7333333333333</v>
      </c>
      <c r="L19" s="13" t="n">
        <v>13.6</v>
      </c>
      <c r="M19" s="13" t="n">
        <v>33.6</v>
      </c>
      <c r="N19" s="13" t="n">
        <v>14.4</v>
      </c>
      <c r="O19" s="13" t="n">
        <v>403.96799935</v>
      </c>
      <c r="P19" s="13" t="n">
        <v>72.02399991</v>
      </c>
      <c r="Q19" s="12" t="n">
        <f aca="false">AD20-AD19</f>
        <v>1</v>
      </c>
      <c r="R19" s="12" t="n">
        <v>0</v>
      </c>
      <c r="S19" s="12" t="n">
        <v>0</v>
      </c>
      <c r="T19" s="12" t="n">
        <f aca="false">AE20-AE19</f>
        <v>5</v>
      </c>
      <c r="U19" s="12" t="s">
        <v>46</v>
      </c>
      <c r="V19" s="23"/>
      <c r="W19" s="24" t="n">
        <f aca="false">W18+1</f>
        <v>17</v>
      </c>
      <c r="X19" s="22" t="n">
        <v>11636</v>
      </c>
      <c r="Y19" s="22" t="n">
        <v>14127</v>
      </c>
      <c r="Z19" s="22" t="n">
        <v>9710</v>
      </c>
      <c r="AA19" s="22" t="n">
        <v>10872</v>
      </c>
      <c r="AB19" s="22" t="n">
        <v>1291</v>
      </c>
      <c r="AC19" s="22" t="n">
        <v>4148</v>
      </c>
      <c r="AD19" s="22" t="n">
        <v>420</v>
      </c>
      <c r="AE19" s="22" t="n">
        <v>3727</v>
      </c>
    </row>
    <row r="20" customFormat="false" ht="15.75" hidden="false" customHeight="false" outlineLevel="0" collapsed="false">
      <c r="A20" s="4" t="n">
        <v>45919</v>
      </c>
      <c r="B20" s="13" t="n">
        <v>1709.86199946</v>
      </c>
      <c r="C20" s="13" t="n">
        <v>238.34999991</v>
      </c>
      <c r="D20" s="12" t="n">
        <f aca="false">X21-X20</f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127.866666666667</v>
      </c>
      <c r="J20" s="13" t="n">
        <v>54.8</v>
      </c>
      <c r="K20" s="13" t="n">
        <v>31.7333333333333</v>
      </c>
      <c r="L20" s="13" t="n">
        <v>13.6</v>
      </c>
      <c r="M20" s="13" t="n">
        <v>33.6</v>
      </c>
      <c r="N20" s="13" t="n">
        <v>14.4</v>
      </c>
      <c r="O20" s="13" t="n">
        <v>389.75999934</v>
      </c>
      <c r="P20" s="13" t="n">
        <v>51.62399992</v>
      </c>
      <c r="Q20" s="12" t="n">
        <f aca="false">AD21-AD20</f>
        <v>0</v>
      </c>
      <c r="R20" s="12" t="n">
        <v>0</v>
      </c>
      <c r="S20" s="12" t="n">
        <v>0</v>
      </c>
      <c r="T20" s="12" t="n">
        <f aca="false">AE21-AE20</f>
        <v>0</v>
      </c>
      <c r="U20" s="12" t="s">
        <v>46</v>
      </c>
      <c r="V20" s="11"/>
      <c r="W20" s="24" t="n">
        <f aca="false">W19+1</f>
        <v>18</v>
      </c>
      <c r="X20" s="21" t="n">
        <v>11849</v>
      </c>
      <c r="Y20" s="21" t="n">
        <v>14310</v>
      </c>
      <c r="Z20" s="21" t="n">
        <v>9722</v>
      </c>
      <c r="AA20" s="21" t="n">
        <v>10872</v>
      </c>
      <c r="AB20" s="21" t="n">
        <v>1291</v>
      </c>
      <c r="AC20" s="21" t="n">
        <v>4154</v>
      </c>
      <c r="AD20" s="21" t="n">
        <v>421</v>
      </c>
      <c r="AE20" s="21" t="n">
        <v>3732</v>
      </c>
    </row>
    <row r="21" customFormat="false" ht="15.75" hidden="false" customHeight="false" outlineLevel="0" collapsed="false">
      <c r="A21" s="4" t="n">
        <v>45920</v>
      </c>
      <c r="B21" s="13" t="n">
        <v>1339.21199944</v>
      </c>
      <c r="C21" s="13" t="n">
        <v>219.91199994</v>
      </c>
      <c r="D21" s="12" t="n">
        <f aca="false">X22-X21</f>
        <v>147</v>
      </c>
      <c r="E21" s="13" t="n">
        <v>102.9</v>
      </c>
      <c r="F21" s="13" t="n">
        <v>44.1</v>
      </c>
      <c r="G21" s="13" t="n">
        <v>188.571428571429</v>
      </c>
      <c r="H21" s="13" t="n">
        <v>39.6</v>
      </c>
      <c r="I21" s="13" t="n">
        <v>127.866666666667</v>
      </c>
      <c r="J21" s="13" t="n">
        <v>54.8</v>
      </c>
      <c r="K21" s="13" t="n">
        <v>31.7333333333333</v>
      </c>
      <c r="L21" s="13" t="n">
        <v>13.6</v>
      </c>
      <c r="M21" s="13" t="n">
        <v>33.6</v>
      </c>
      <c r="N21" s="13" t="n">
        <v>14.4</v>
      </c>
      <c r="O21" s="13" t="n">
        <v>343.05599935</v>
      </c>
      <c r="P21" s="13" t="n">
        <v>68.11199988</v>
      </c>
      <c r="Q21" s="12" t="n">
        <f aca="false">AD22-AD21</f>
        <v>3</v>
      </c>
      <c r="R21" s="12" t="n">
        <v>0</v>
      </c>
      <c r="S21" s="12" t="n">
        <v>0</v>
      </c>
      <c r="T21" s="12" t="n">
        <f aca="false">AE22-AE21</f>
        <v>15</v>
      </c>
      <c r="U21" s="12" t="s">
        <v>46</v>
      </c>
      <c r="V21" s="11"/>
      <c r="W21" s="24" t="n">
        <f aca="false">W20+1</f>
        <v>19</v>
      </c>
      <c r="X21" s="21" t="n">
        <v>11849</v>
      </c>
      <c r="Y21" s="21" t="n">
        <v>14310</v>
      </c>
      <c r="Z21" s="21" t="n">
        <v>9722</v>
      </c>
      <c r="AA21" s="21" t="n">
        <v>10872</v>
      </c>
      <c r="AB21" s="21" t="n">
        <v>1291</v>
      </c>
      <c r="AC21" s="21" t="n">
        <v>4154</v>
      </c>
      <c r="AD21" s="21" t="n">
        <v>421</v>
      </c>
      <c r="AE21" s="21" t="n">
        <v>3732</v>
      </c>
    </row>
    <row r="22" customFormat="false" ht="15.75" hidden="false" customHeight="false" outlineLevel="0" collapsed="false">
      <c r="A22" s="4" t="n">
        <v>45921</v>
      </c>
      <c r="B22" s="13" t="n">
        <v>1350.25799952</v>
      </c>
      <c r="C22" s="13" t="n">
        <v>211.00799994</v>
      </c>
      <c r="D22" s="12" t="n">
        <f aca="false">X23-X22</f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127.866666666667</v>
      </c>
      <c r="J22" s="13" t="n">
        <v>54.8</v>
      </c>
      <c r="K22" s="13" t="n">
        <v>31.7333333333333</v>
      </c>
      <c r="L22" s="13" t="n">
        <v>13.6</v>
      </c>
      <c r="M22" s="13" t="n">
        <v>33.6</v>
      </c>
      <c r="N22" s="13" t="n">
        <v>14.4</v>
      </c>
      <c r="O22" s="13" t="n">
        <v>426.88799933</v>
      </c>
      <c r="P22" s="13" t="n">
        <v>85.67999988</v>
      </c>
      <c r="Q22" s="12" t="n">
        <f aca="false">AD23-AD22</f>
        <v>0</v>
      </c>
      <c r="R22" s="12" t="n">
        <v>0</v>
      </c>
      <c r="S22" s="12" t="n">
        <v>0</v>
      </c>
      <c r="T22" s="12" t="n">
        <f aca="false">AE23-AE22</f>
        <v>0</v>
      </c>
      <c r="U22" s="12" t="s">
        <v>46</v>
      </c>
      <c r="V22" s="11"/>
      <c r="W22" s="24" t="n">
        <f aca="false">W21+1</f>
        <v>20</v>
      </c>
      <c r="X22" s="21" t="n">
        <v>11996</v>
      </c>
      <c r="Y22" s="21" t="n">
        <v>14442</v>
      </c>
      <c r="Z22" s="21" t="n">
        <v>9731</v>
      </c>
      <c r="AA22" s="21" t="n">
        <v>10878</v>
      </c>
      <c r="AB22" s="21" t="n">
        <v>1292</v>
      </c>
      <c r="AC22" s="21" t="n">
        <v>4171</v>
      </c>
      <c r="AD22" s="21" t="n">
        <v>424</v>
      </c>
      <c r="AE22" s="21" t="n">
        <v>3747</v>
      </c>
    </row>
    <row r="23" customFormat="false" ht="15.75" hidden="false" customHeight="false" outlineLevel="0" collapsed="false">
      <c r="A23" s="4" t="n">
        <v>45922</v>
      </c>
      <c r="B23" s="13" t="n">
        <v>1615.61399947</v>
      </c>
      <c r="C23" s="13" t="n">
        <v>222.72599991</v>
      </c>
      <c r="D23" s="12" t="n">
        <f aca="false">X24-X23</f>
        <v>52</v>
      </c>
      <c r="E23" s="13" t="n">
        <v>36.4</v>
      </c>
      <c r="F23" s="13" t="n">
        <v>15.6</v>
      </c>
      <c r="G23" s="13" t="n">
        <v>130</v>
      </c>
      <c r="H23" s="13" t="n">
        <v>27.3</v>
      </c>
      <c r="I23" s="13" t="n">
        <v>127.866666666667</v>
      </c>
      <c r="J23" s="13" t="n">
        <v>54.8</v>
      </c>
      <c r="K23" s="13" t="n">
        <v>31.7333333333333</v>
      </c>
      <c r="L23" s="13" t="n">
        <v>13.6</v>
      </c>
      <c r="M23" s="13" t="n">
        <v>33.6</v>
      </c>
      <c r="N23" s="13" t="n">
        <v>14.4</v>
      </c>
      <c r="O23" s="13" t="n">
        <v>318.64799941</v>
      </c>
      <c r="P23" s="13" t="n">
        <v>49.05599991</v>
      </c>
      <c r="Q23" s="12" t="n">
        <f aca="false">AD24-AD23</f>
        <v>0</v>
      </c>
      <c r="R23" s="12" t="n">
        <v>0</v>
      </c>
      <c r="S23" s="12" t="n">
        <v>0</v>
      </c>
      <c r="T23" s="12" t="n">
        <f aca="false">AE24-AE23</f>
        <v>8</v>
      </c>
      <c r="U23" s="12" t="s">
        <v>59</v>
      </c>
      <c r="V23" s="11"/>
      <c r="W23" s="24" t="n">
        <f aca="false">W22+1</f>
        <v>21</v>
      </c>
      <c r="X23" s="21" t="n">
        <v>11996</v>
      </c>
      <c r="Y23" s="21" t="n">
        <v>14442</v>
      </c>
      <c r="Z23" s="21" t="n">
        <v>9731</v>
      </c>
      <c r="AA23" s="21" t="n">
        <v>10878</v>
      </c>
      <c r="AB23" s="21" t="n">
        <v>1292</v>
      </c>
      <c r="AC23" s="21" t="n">
        <v>4171</v>
      </c>
      <c r="AD23" s="21" t="n">
        <v>424</v>
      </c>
      <c r="AE23" s="21" t="n">
        <v>3747</v>
      </c>
    </row>
    <row r="24" customFormat="false" ht="15.75" hidden="false" customHeight="false" outlineLevel="0" collapsed="false">
      <c r="A24" s="4" t="n">
        <v>45923</v>
      </c>
      <c r="B24" s="13" t="n">
        <v>1767.94799947</v>
      </c>
      <c r="C24" s="13" t="n">
        <v>251.57999994</v>
      </c>
      <c r="D24" s="12" t="n">
        <f aca="false">X25-X24</f>
        <v>64</v>
      </c>
      <c r="E24" s="13" t="n">
        <v>44.8</v>
      </c>
      <c r="F24" s="13" t="n">
        <v>19.2</v>
      </c>
      <c r="G24" s="13" t="n">
        <v>81.4285714285714</v>
      </c>
      <c r="H24" s="13" t="n">
        <v>17.1</v>
      </c>
      <c r="I24" s="13" t="n">
        <v>127.866666666667</v>
      </c>
      <c r="J24" s="13" t="n">
        <v>54.8</v>
      </c>
      <c r="K24" s="13" t="n">
        <v>31.7333333333333</v>
      </c>
      <c r="L24" s="13" t="n">
        <v>13.6</v>
      </c>
      <c r="M24" s="13" t="n">
        <v>33.6</v>
      </c>
      <c r="N24" s="13" t="n">
        <v>14.4</v>
      </c>
      <c r="O24" s="13" t="n">
        <v>332.99999931</v>
      </c>
      <c r="P24" s="13" t="n">
        <v>70.5599999</v>
      </c>
      <c r="Q24" s="12" t="n">
        <f aca="false">AD25-AD24</f>
        <v>0</v>
      </c>
      <c r="R24" s="12" t="n">
        <v>0</v>
      </c>
      <c r="S24" s="12" t="n">
        <v>0</v>
      </c>
      <c r="T24" s="12" t="n">
        <f aca="false">AE25-AE24</f>
        <v>7</v>
      </c>
      <c r="U24" s="12" t="s">
        <v>60</v>
      </c>
      <c r="V24" s="11"/>
      <c r="W24" s="24" t="n">
        <f aca="false">W23+1</f>
        <v>22</v>
      </c>
      <c r="X24" s="21" t="n">
        <v>12048</v>
      </c>
      <c r="Y24" s="21" t="n">
        <v>14533</v>
      </c>
      <c r="Z24" s="21" t="n">
        <v>9742</v>
      </c>
      <c r="AA24" s="21" t="n">
        <v>10878</v>
      </c>
      <c r="AB24" s="21" t="n">
        <v>1292</v>
      </c>
      <c r="AC24" s="21" t="n">
        <v>4179</v>
      </c>
      <c r="AD24" s="21" t="n">
        <v>424</v>
      </c>
      <c r="AE24" s="21" t="n">
        <v>3755</v>
      </c>
    </row>
    <row r="25" customFormat="false" ht="15.75" hidden="false" customHeight="false" outlineLevel="0" collapsed="false">
      <c r="A25" s="4" t="n">
        <v>45924</v>
      </c>
      <c r="B25" s="13" t="n">
        <v>1889.53799947</v>
      </c>
      <c r="C25" s="13" t="n">
        <v>245.19599994</v>
      </c>
      <c r="D25" s="12" t="n">
        <f aca="false">X26-X25</f>
        <v>99</v>
      </c>
      <c r="E25" s="13" t="n">
        <v>69.3</v>
      </c>
      <c r="F25" s="13" t="n">
        <v>29.7</v>
      </c>
      <c r="G25" s="13" t="n">
        <v>198.571428571429</v>
      </c>
      <c r="H25" s="13" t="n">
        <v>41.7</v>
      </c>
      <c r="I25" s="13" t="n">
        <v>127.866666666667</v>
      </c>
      <c r="J25" s="13" t="n">
        <v>54.8</v>
      </c>
      <c r="K25" s="13" t="n">
        <v>31.7333333333333</v>
      </c>
      <c r="L25" s="13" t="n">
        <v>13.6</v>
      </c>
      <c r="M25" s="13" t="n">
        <v>33.6</v>
      </c>
      <c r="N25" s="13" t="n">
        <v>14.4</v>
      </c>
      <c r="O25" s="13" t="n">
        <v>366.23999934</v>
      </c>
      <c r="P25" s="13" t="n">
        <v>78.0959999</v>
      </c>
      <c r="Q25" s="12" t="n">
        <f aca="false">AD26-AD25</f>
        <v>0</v>
      </c>
      <c r="R25" s="12" t="n">
        <v>0</v>
      </c>
      <c r="S25" s="12" t="n">
        <v>0</v>
      </c>
      <c r="T25" s="12" t="n">
        <f aca="false">AE26-AE25</f>
        <v>5</v>
      </c>
      <c r="U25" s="12" t="s">
        <v>59</v>
      </c>
      <c r="V25" s="11"/>
      <c r="W25" s="24" t="n">
        <f aca="false">W24+1</f>
        <v>23</v>
      </c>
      <c r="X25" s="21" t="n">
        <v>12112</v>
      </c>
      <c r="Y25" s="21" t="n">
        <v>14590</v>
      </c>
      <c r="Z25" s="21" t="n">
        <v>9745</v>
      </c>
      <c r="AA25" s="21" t="n">
        <v>10878</v>
      </c>
      <c r="AB25" s="21" t="n">
        <v>1292</v>
      </c>
      <c r="AC25" s="21" t="n">
        <v>4187</v>
      </c>
      <c r="AD25" s="21" t="n">
        <v>424</v>
      </c>
      <c r="AE25" s="21" t="n">
        <v>3762</v>
      </c>
    </row>
    <row r="26" customFormat="false" ht="15.75" hidden="false" customHeight="false" outlineLevel="0" collapsed="false">
      <c r="A26" s="4" t="n">
        <v>45925</v>
      </c>
      <c r="B26" s="13" t="n">
        <v>1703.64599956</v>
      </c>
      <c r="C26" s="13" t="n">
        <v>270.85799993</v>
      </c>
      <c r="D26" s="12" t="n">
        <f aca="false">X27-X26</f>
        <v>77</v>
      </c>
      <c r="E26" s="13" t="n">
        <v>53.9</v>
      </c>
      <c r="F26" s="13" t="n">
        <v>23.1</v>
      </c>
      <c r="G26" s="13" t="n">
        <v>145.714285714286</v>
      </c>
      <c r="H26" s="13" t="n">
        <v>30.6</v>
      </c>
      <c r="I26" s="13" t="n">
        <v>127.866666666667</v>
      </c>
      <c r="J26" s="13" t="n">
        <v>54.8</v>
      </c>
      <c r="K26" s="13" t="n">
        <v>31.7333333333333</v>
      </c>
      <c r="L26" s="13" t="n">
        <v>13.6</v>
      </c>
      <c r="M26" s="13" t="n">
        <v>33.6</v>
      </c>
      <c r="N26" s="13" t="n">
        <v>14.4</v>
      </c>
      <c r="O26" s="13" t="n">
        <v>313.89599937</v>
      </c>
      <c r="P26" s="13" t="n">
        <v>70.65599991</v>
      </c>
      <c r="Q26" s="12" t="n">
        <f aca="false">AD27-AD26</f>
        <v>2</v>
      </c>
      <c r="R26" s="12" t="n">
        <v>0</v>
      </c>
      <c r="S26" s="12" t="n">
        <v>0</v>
      </c>
      <c r="T26" s="12" t="n">
        <f aca="false">AE27-AE26</f>
        <v>4</v>
      </c>
      <c r="U26" s="12" t="s">
        <v>59</v>
      </c>
      <c r="V26" s="11"/>
      <c r="W26" s="26" t="n">
        <f aca="false">W25+1</f>
        <v>24</v>
      </c>
      <c r="X26" s="27" t="n">
        <v>12211</v>
      </c>
      <c r="Y26" s="27" t="n">
        <v>14729</v>
      </c>
      <c r="Z26" s="27" t="n">
        <v>9749</v>
      </c>
      <c r="AA26" s="27" t="n">
        <v>10878</v>
      </c>
      <c r="AB26" s="27" t="n">
        <v>1292</v>
      </c>
      <c r="AC26" s="27" t="n">
        <v>4193</v>
      </c>
      <c r="AD26" s="27" t="n">
        <v>424</v>
      </c>
      <c r="AE26" s="27" t="n">
        <v>3767</v>
      </c>
    </row>
    <row r="27" customFormat="false" ht="15.75" hidden="false" customHeight="false" outlineLevel="0" collapsed="false">
      <c r="A27" s="4" t="n">
        <v>45926</v>
      </c>
      <c r="B27" s="13" t="n">
        <v>1400.02799949</v>
      </c>
      <c r="C27" s="13" t="n">
        <v>202.43999992</v>
      </c>
      <c r="D27" s="12" t="n">
        <f aca="false">X28-X27</f>
        <v>89</v>
      </c>
      <c r="E27" s="13" t="n">
        <v>62.3</v>
      </c>
      <c r="F27" s="13" t="n">
        <v>26.7</v>
      </c>
      <c r="G27" s="13" t="n">
        <v>170</v>
      </c>
      <c r="H27" s="13" t="n">
        <v>35.7</v>
      </c>
      <c r="I27" s="13" t="n">
        <v>127.866666666667</v>
      </c>
      <c r="J27" s="13" t="n">
        <v>54.8</v>
      </c>
      <c r="K27" s="13" t="n">
        <v>31.7333333333333</v>
      </c>
      <c r="L27" s="13" t="n">
        <v>13.6</v>
      </c>
      <c r="M27" s="13" t="n">
        <v>33.6</v>
      </c>
      <c r="N27" s="13" t="n">
        <v>14.4</v>
      </c>
      <c r="O27" s="13" t="n">
        <v>294.14399927</v>
      </c>
      <c r="P27" s="13" t="n">
        <v>51.3119999</v>
      </c>
      <c r="Q27" s="12" t="n">
        <f aca="false">AD28-AD27</f>
        <v>1</v>
      </c>
      <c r="R27" s="12" t="n">
        <v>0</v>
      </c>
      <c r="S27" s="12" t="n">
        <v>0</v>
      </c>
      <c r="T27" s="12" t="n">
        <f aca="false">AE28-AE27</f>
        <v>2</v>
      </c>
      <c r="U27" s="12" t="s">
        <v>59</v>
      </c>
      <c r="V27" s="11"/>
      <c r="W27" s="24" t="n">
        <f aca="false">W26+1</f>
        <v>25</v>
      </c>
      <c r="X27" s="21" t="n">
        <v>12288</v>
      </c>
      <c r="Y27" s="21" t="n">
        <v>14831</v>
      </c>
      <c r="Z27" s="21" t="n">
        <v>9754</v>
      </c>
      <c r="AA27" s="21" t="n">
        <v>10882</v>
      </c>
      <c r="AB27" s="21" t="n">
        <v>1292</v>
      </c>
      <c r="AC27" s="21" t="n">
        <v>4198</v>
      </c>
      <c r="AD27" s="21" t="n">
        <v>426</v>
      </c>
      <c r="AE27" s="21" t="n">
        <v>3771</v>
      </c>
    </row>
    <row r="28" customFormat="false" ht="15.75" hidden="false" customHeight="false" outlineLevel="0" collapsed="false">
      <c r="A28" s="4" t="n">
        <v>45927</v>
      </c>
      <c r="B28" s="13" t="n">
        <v>1167.13799947</v>
      </c>
      <c r="C28" s="13" t="n">
        <v>200.80199992</v>
      </c>
      <c r="D28" s="12" t="n">
        <f aca="false">X29-X28</f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127.866666666667</v>
      </c>
      <c r="J28" s="13" t="n">
        <v>54.8</v>
      </c>
      <c r="K28" s="13" t="n">
        <v>31.7333333333333</v>
      </c>
      <c r="L28" s="13" t="n">
        <v>13.6</v>
      </c>
      <c r="M28" s="13" t="n">
        <v>33.6</v>
      </c>
      <c r="N28" s="13" t="n">
        <v>14.4</v>
      </c>
      <c r="O28" s="13" t="n">
        <v>308.32799937</v>
      </c>
      <c r="P28" s="13" t="n">
        <v>59.97599992</v>
      </c>
      <c r="Q28" s="12" t="n">
        <f aca="false">AD29-AD28</f>
        <v>0</v>
      </c>
      <c r="R28" s="12" t="n">
        <v>0</v>
      </c>
      <c r="S28" s="12" t="n">
        <v>0</v>
      </c>
      <c r="T28" s="12" t="n">
        <f aca="false">AE29-AE28</f>
        <v>0</v>
      </c>
      <c r="U28" s="12" t="s">
        <v>46</v>
      </c>
      <c r="V28" s="11"/>
      <c r="W28" s="24" t="n">
        <f aca="false">W27+1</f>
        <v>26</v>
      </c>
      <c r="X28" s="21" t="n">
        <v>12377</v>
      </c>
      <c r="Y28" s="21" t="n">
        <v>14950</v>
      </c>
      <c r="Z28" s="21" t="n">
        <v>9754</v>
      </c>
      <c r="AA28" s="21" t="n">
        <v>10882</v>
      </c>
      <c r="AB28" s="21" t="n">
        <v>1293</v>
      </c>
      <c r="AC28" s="21" t="n">
        <v>4200</v>
      </c>
      <c r="AD28" s="21" t="n">
        <v>427</v>
      </c>
      <c r="AE28" s="21" t="n">
        <v>3773</v>
      </c>
    </row>
    <row r="29" customFormat="false" ht="23.85" hidden="false" customHeight="false" outlineLevel="0" collapsed="false">
      <c r="A29" s="4" t="n">
        <v>45928</v>
      </c>
      <c r="B29" s="13" t="n">
        <v>1118.92199952</v>
      </c>
      <c r="C29" s="13" t="n">
        <v>193.91399992</v>
      </c>
      <c r="D29" s="12" t="n">
        <f aca="false">X30-X29</f>
        <v>44</v>
      </c>
      <c r="E29" s="13" t="n">
        <v>30.8</v>
      </c>
      <c r="F29" s="13" t="n">
        <v>13.2</v>
      </c>
      <c r="G29" s="13" t="n">
        <v>182.857142857143</v>
      </c>
      <c r="H29" s="13" t="n">
        <v>38.4</v>
      </c>
      <c r="I29" s="13" t="n">
        <v>127.866666666667</v>
      </c>
      <c r="J29" s="13" t="n">
        <v>54.8</v>
      </c>
      <c r="K29" s="13" t="n">
        <v>31.7333333333333</v>
      </c>
      <c r="L29" s="13" t="n">
        <v>13.6</v>
      </c>
      <c r="M29" s="13" t="n">
        <v>33.6</v>
      </c>
      <c r="N29" s="13" t="n">
        <v>14.4</v>
      </c>
      <c r="O29" s="13" t="n">
        <v>302.78399933</v>
      </c>
      <c r="P29" s="13" t="n">
        <v>69.26399989</v>
      </c>
      <c r="Q29" s="12" t="n">
        <f aca="false">AD30-AD29</f>
        <v>0</v>
      </c>
      <c r="R29" s="12" t="n">
        <v>0</v>
      </c>
      <c r="S29" s="12" t="n">
        <v>0</v>
      </c>
      <c r="T29" s="12" t="n">
        <f aca="false">AE30-AE29</f>
        <v>4</v>
      </c>
      <c r="U29" s="12" t="s">
        <v>61</v>
      </c>
      <c r="V29" s="11"/>
      <c r="W29" s="24" t="n">
        <f aca="false">W28+1</f>
        <v>27</v>
      </c>
      <c r="X29" s="21" t="n">
        <v>12377</v>
      </c>
      <c r="Y29" s="21" t="n">
        <v>14950</v>
      </c>
      <c r="Z29" s="21" t="n">
        <v>9754</v>
      </c>
      <c r="AA29" s="21" t="n">
        <v>10882</v>
      </c>
      <c r="AB29" s="21" t="n">
        <v>1293</v>
      </c>
      <c r="AC29" s="21" t="n">
        <v>4200</v>
      </c>
      <c r="AD29" s="21" t="n">
        <v>427</v>
      </c>
      <c r="AE29" s="21" t="n">
        <v>3773</v>
      </c>
    </row>
    <row r="30" customFormat="false" ht="15.75" hidden="false" customHeight="false" outlineLevel="0" collapsed="false">
      <c r="A30" s="4" t="n">
        <v>45929</v>
      </c>
      <c r="B30" s="13" t="n">
        <v>1829.89799944</v>
      </c>
      <c r="C30" s="13" t="n">
        <v>268.50599996</v>
      </c>
      <c r="D30" s="12" t="n">
        <f aca="false">X31-X30</f>
        <v>48</v>
      </c>
      <c r="E30" s="13" t="n">
        <v>33.6</v>
      </c>
      <c r="F30" s="13" t="n">
        <v>14.4</v>
      </c>
      <c r="G30" s="13" t="n">
        <v>175.714285714286</v>
      </c>
      <c r="H30" s="13" t="n">
        <v>36.9</v>
      </c>
      <c r="I30" s="13" t="n">
        <v>127.866666666667</v>
      </c>
      <c r="J30" s="13" t="n">
        <v>54.8</v>
      </c>
      <c r="K30" s="13" t="n">
        <v>31.7333333333333</v>
      </c>
      <c r="L30" s="13" t="n">
        <v>13.6</v>
      </c>
      <c r="M30" s="13" t="n">
        <v>33.6</v>
      </c>
      <c r="N30" s="13" t="n">
        <v>14.4</v>
      </c>
      <c r="O30" s="13" t="n">
        <v>338.44799931</v>
      </c>
      <c r="P30" s="13" t="n">
        <v>70.55999992</v>
      </c>
      <c r="Q30" s="12" t="n">
        <f aca="false">AD31-AD30</f>
        <v>0</v>
      </c>
      <c r="R30" s="12" t="n">
        <v>0</v>
      </c>
      <c r="S30" s="12" t="n">
        <v>0</v>
      </c>
      <c r="T30" s="12" t="n">
        <f aca="false">AE31-AE30</f>
        <v>11</v>
      </c>
      <c r="U30" s="12" t="s">
        <v>45</v>
      </c>
      <c r="V30" s="11"/>
      <c r="W30" s="24" t="n">
        <f aca="false">W29+1</f>
        <v>28</v>
      </c>
      <c r="X30" s="21" t="n">
        <v>12421</v>
      </c>
      <c r="Y30" s="21" t="n">
        <v>15078</v>
      </c>
      <c r="Z30" s="21" t="n">
        <v>9763</v>
      </c>
      <c r="AA30" s="21" t="n">
        <v>10882</v>
      </c>
      <c r="AB30" s="21" t="n">
        <v>1293</v>
      </c>
      <c r="AC30" s="21" t="n">
        <v>4204</v>
      </c>
      <c r="AD30" s="21" t="n">
        <v>427</v>
      </c>
      <c r="AE30" s="21" t="n">
        <v>3777</v>
      </c>
    </row>
    <row r="31" customFormat="false" ht="15.75" hidden="false" customHeight="false" outlineLevel="0" collapsed="false">
      <c r="A31" s="4" t="n">
        <v>45930</v>
      </c>
      <c r="B31" s="13" t="n">
        <v>2025.8279995</v>
      </c>
      <c r="C31" s="13" t="n">
        <v>274.13399993</v>
      </c>
      <c r="D31" s="12" t="n">
        <f aca="false">X32-X31</f>
        <v>102</v>
      </c>
      <c r="E31" s="13" t="n">
        <v>71.4</v>
      </c>
      <c r="F31" s="13" t="n">
        <v>30.6</v>
      </c>
      <c r="G31" s="13" t="n">
        <v>155.714285714286</v>
      </c>
      <c r="H31" s="13" t="n">
        <v>32.7</v>
      </c>
      <c r="I31" s="13" t="n">
        <v>127.866666666667</v>
      </c>
      <c r="J31" s="13" t="n">
        <v>54.8</v>
      </c>
      <c r="K31" s="13" t="n">
        <v>31.7333333333333</v>
      </c>
      <c r="L31" s="13" t="n">
        <v>13.6</v>
      </c>
      <c r="M31" s="13" t="n">
        <v>33.6</v>
      </c>
      <c r="N31" s="13" t="n">
        <v>14.4</v>
      </c>
      <c r="O31" s="13" t="n">
        <v>363.47999941</v>
      </c>
      <c r="P31" s="13" t="n">
        <v>71.9279999</v>
      </c>
      <c r="Q31" s="12" t="n">
        <f aca="false">AD32-AD31</f>
        <v>1</v>
      </c>
      <c r="R31" s="12" t="n">
        <v>0</v>
      </c>
      <c r="S31" s="12" t="n">
        <v>0</v>
      </c>
      <c r="T31" s="12" t="n">
        <f aca="false">AE32-AE31</f>
        <v>5</v>
      </c>
      <c r="U31" s="12" t="s">
        <v>45</v>
      </c>
      <c r="V31" s="11"/>
      <c r="W31" s="24" t="n">
        <f aca="false">W30+1</f>
        <v>29</v>
      </c>
      <c r="X31" s="21" t="n">
        <v>12469</v>
      </c>
      <c r="Y31" s="21" t="n">
        <v>15201</v>
      </c>
      <c r="Z31" s="21" t="n">
        <v>9772</v>
      </c>
      <c r="AA31" s="21" t="n">
        <v>10882</v>
      </c>
      <c r="AB31" s="21" t="n">
        <v>1293</v>
      </c>
      <c r="AC31" s="21" t="n">
        <v>4216</v>
      </c>
      <c r="AD31" s="21" t="n">
        <v>427</v>
      </c>
      <c r="AE31" s="21" t="n">
        <v>3788</v>
      </c>
    </row>
    <row r="32" customFormat="false" ht="15.75" hidden="false" customHeight="false" outlineLevel="0" collapsed="false">
      <c r="B32" s="37"/>
      <c r="C32" s="37"/>
      <c r="F32" s="37"/>
      <c r="H32" s="37"/>
      <c r="J32" s="37"/>
      <c r="L32" s="37"/>
      <c r="N32" s="37"/>
      <c r="P32" s="37"/>
      <c r="R32" s="37"/>
      <c r="S32" s="37"/>
      <c r="U32" s="37"/>
      <c r="V32" s="11"/>
      <c r="W32" s="24" t="n">
        <f aca="false">W31+1</f>
        <v>30</v>
      </c>
      <c r="X32" s="21" t="n">
        <v>12571</v>
      </c>
      <c r="Y32" s="21" t="n">
        <v>15310</v>
      </c>
      <c r="Z32" s="21" t="n">
        <v>9775</v>
      </c>
      <c r="AA32" s="21" t="n">
        <v>10882</v>
      </c>
      <c r="AB32" s="21" t="n">
        <v>1293</v>
      </c>
      <c r="AC32" s="21" t="n">
        <v>4222</v>
      </c>
      <c r="AD32" s="21" t="n">
        <v>428</v>
      </c>
      <c r="AE32" s="21" t="n">
        <v>3793</v>
      </c>
    </row>
    <row r="34" customFormat="false" ht="12.75" hidden="false" customHeight="false" outlineLevel="0" collapsed="false">
      <c r="A34" s="28"/>
      <c r="B34" s="29"/>
      <c r="C34" s="29"/>
      <c r="D34" s="29"/>
      <c r="E34" s="29"/>
      <c r="F34" s="29"/>
      <c r="G34" s="29"/>
      <c r="H34" s="29"/>
      <c r="I34" s="29"/>
      <c r="J34" s="29"/>
    </row>
    <row r="35" customFormat="false" ht="12.7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N37" s="40"/>
      <c r="O37" s="40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L51" s="30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</row>
    <row r="67" customFormat="false" ht="12.75" hidden="tru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</row>
    <row r="69" customFormat="false" ht="12.7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  <c r="J69" s="29"/>
    </row>
    <row r="70" customFormat="false" ht="12.75" hidden="false" customHeight="false" outlineLevel="0" collapsed="false">
      <c r="A70" s="28"/>
      <c r="B70" s="31"/>
      <c r="C70" s="31"/>
      <c r="D70" s="31"/>
      <c r="E70" s="31"/>
      <c r="F70" s="31"/>
      <c r="G70" s="31"/>
      <c r="H70" s="31"/>
      <c r="I70" s="31"/>
      <c r="J70" s="31"/>
    </row>
    <row r="71" customFormat="false" ht="12.75" hidden="false" customHeight="fals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4" customFormat="false" ht="12.75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customFormat="false" ht="12.75" hidden="false" customHeight="false" outlineLevel="0" collapsed="false">
      <c r="A75" s="28"/>
      <c r="B75" s="33"/>
      <c r="C75" s="33"/>
      <c r="D75" s="33"/>
      <c r="E75" s="33"/>
      <c r="F75" s="33"/>
      <c r="G75" s="33"/>
      <c r="H75" s="33"/>
      <c r="I75" s="33"/>
      <c r="J75" s="33"/>
    </row>
    <row r="76" customFormat="false" ht="12.75" hidden="false" customHeight="false" outlineLevel="0" collapsed="false">
      <c r="A76" s="28"/>
      <c r="B76" s="34"/>
      <c r="C76" s="34"/>
      <c r="D76" s="34"/>
      <c r="E76" s="34"/>
      <c r="F76" s="34"/>
      <c r="G76" s="34"/>
      <c r="H76" s="34"/>
      <c r="I76" s="34"/>
      <c r="J76" s="34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  <c r="J77" s="34"/>
    </row>
    <row r="78" customFormat="false" ht="12.7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</row>
    <row r="79" customFormat="false" ht="12.7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</row>
    <row r="82" customFormat="false" ht="12.75" hidden="false" customHeight="false" outlineLevel="0" collapsed="false">
      <c r="A82" s="28"/>
      <c r="B82" s="28"/>
    </row>
    <row r="83" customFormat="false" ht="12.75" hidden="false" customHeight="false" outlineLevel="0" collapsed="false">
      <c r="A83" s="28"/>
    </row>
    <row r="84" customFormat="false" ht="12.75" hidden="false" customHeight="false" outlineLevel="0" collapsed="false">
      <c r="A84" s="28"/>
      <c r="B84" s="31"/>
    </row>
    <row r="86" customFormat="false" ht="12.75" hidden="false" customHeight="fals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customFormat="false" ht="12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  <c r="J87" s="36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  <c r="J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  <c r="J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  <c r="J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  <c r="J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  <c r="J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  <c r="J93" s="36"/>
    </row>
    <row r="94" customFormat="false" ht="12.7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</row>
    <row r="95" customFormat="false" ht="12.75" hidden="false" customHeight="false" outlineLevel="0" collapsed="false">
      <c r="A95" s="28"/>
      <c r="B95" s="36"/>
    </row>
    <row r="96" customFormat="false" ht="12.75" hidden="false" customHeight="false" outlineLevel="0" collapsed="false">
      <c r="A96" s="28"/>
      <c r="B96" s="28"/>
    </row>
    <row r="97" customFormat="false" ht="12.75" hidden="false" customHeight="false" outlineLevel="0" collapsed="false">
      <c r="A97" s="28"/>
      <c r="B97" s="36"/>
    </row>
    <row r="99" customFormat="false" ht="12.7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  <c r="J99" s="29"/>
    </row>
    <row r="100" customFormat="false" ht="12.75" hidden="false" customHeight="false" outlineLevel="0" collapsed="false">
      <c r="A100" s="28"/>
      <c r="B100" s="31"/>
      <c r="C100" s="31"/>
      <c r="D100" s="31"/>
      <c r="E100" s="31"/>
      <c r="F100" s="31"/>
      <c r="G100" s="31"/>
      <c r="H100" s="31"/>
      <c r="I100" s="31"/>
      <c r="J100" s="31"/>
    </row>
    <row r="101" customFormat="false" ht="12.75" hidden="false" customHeight="fals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</sheetData>
  <mergeCells count="6">
    <mergeCell ref="B34:J34"/>
    <mergeCell ref="A69:J69"/>
    <mergeCell ref="A74:J74"/>
    <mergeCell ref="A78:J78"/>
    <mergeCell ref="A86:J86"/>
    <mergeCell ref="A99:J99"/>
  </mergeCells>
  <dataValidations count="2"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G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2"/>
  <sheetViews>
    <sheetView showFormulas="false" showGridLines="true" showRowColHeaders="true" showZeros="true" rightToLeft="false" tabSelected="false" showOutlineSymbols="true" defaultGridColor="true" view="normal" topLeftCell="L13" colorId="64" zoomScale="100" zoomScaleNormal="100" zoomScalePageLayoutView="100" workbookViewId="0">
      <selection pane="topLeft" activeCell="N35" activeCellId="0" sqref="N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8.29"/>
    <col collapsed="false" customWidth="true" hidden="false" outlineLevel="0" max="20" min="20" style="1" width="23"/>
    <col collapsed="false" customWidth="true" hidden="false" outlineLevel="0" max="36" min="36" style="1" width="12.71"/>
    <col collapsed="false" customWidth="true" hidden="false" outlineLevel="0" max="37" min="37" style="1" width="13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45870</v>
      </c>
      <c r="B2" s="38" t="n">
        <v>1050.20999953</v>
      </c>
      <c r="C2" s="38" t="n">
        <v>185.30399991</v>
      </c>
      <c r="D2" s="19" t="n">
        <f aca="false">W3-W2</f>
        <v>0</v>
      </c>
      <c r="E2" s="19" t="n">
        <v>0</v>
      </c>
      <c r="F2" s="19" t="n">
        <f aca="false">X3-X2</f>
        <v>0</v>
      </c>
      <c r="G2" s="19" t="n">
        <v>0</v>
      </c>
      <c r="H2" s="38" t="n">
        <v>126.451612903226</v>
      </c>
      <c r="I2" s="38" t="n">
        <v>54.1935483870968</v>
      </c>
      <c r="J2" s="38" t="n">
        <v>31.6129032258065</v>
      </c>
      <c r="K2" s="38" t="n">
        <v>13.5483870967742</v>
      </c>
      <c r="L2" s="38" t="n">
        <v>32.5161290322581</v>
      </c>
      <c r="M2" s="38" t="n">
        <v>13.9354838709677</v>
      </c>
      <c r="N2" s="38" t="n">
        <v>250.15199933</v>
      </c>
      <c r="O2" s="38" t="n">
        <v>55.43999988</v>
      </c>
      <c r="P2" s="19" t="n">
        <f aca="false">AC3-AC2</f>
        <v>0</v>
      </c>
      <c r="Q2" s="19" t="n">
        <v>0</v>
      </c>
      <c r="R2" s="19" t="n">
        <v>0</v>
      </c>
      <c r="S2" s="19" t="n">
        <f aca="false">AD3-AD2</f>
        <v>0</v>
      </c>
      <c r="T2" s="12" t="s">
        <v>62</v>
      </c>
      <c r="U2" s="11"/>
      <c r="V2" s="14" t="n">
        <v>0</v>
      </c>
      <c r="W2" s="21" t="n">
        <v>9135</v>
      </c>
      <c r="X2" s="21" t="n">
        <v>11194</v>
      </c>
      <c r="Y2" s="21" t="n">
        <v>9505</v>
      </c>
      <c r="Z2" s="21" t="n">
        <v>10839</v>
      </c>
      <c r="AA2" s="21" t="n">
        <v>1282</v>
      </c>
      <c r="AB2" s="21" t="n">
        <v>3934</v>
      </c>
      <c r="AC2" s="21" t="n">
        <v>396</v>
      </c>
      <c r="AD2" s="21" t="n">
        <v>3537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  <c r="AI2" s="41"/>
      <c r="AJ2" s="6"/>
      <c r="AK2" s="6"/>
    </row>
    <row r="3" customFormat="false" ht="15.75" hidden="false" customHeight="false" outlineLevel="0" collapsed="false">
      <c r="A3" s="42" t="n">
        <f aca="false">A2+1</f>
        <v>45871</v>
      </c>
      <c r="B3" s="38" t="n">
        <v>981.91799947</v>
      </c>
      <c r="C3" s="38" t="n">
        <v>175.9379999</v>
      </c>
      <c r="D3" s="19" t="n">
        <f aca="false">W4-W3</f>
        <v>0</v>
      </c>
      <c r="E3" s="19" t="n">
        <v>0</v>
      </c>
      <c r="F3" s="19" t="n">
        <f aca="false">X4-X3</f>
        <v>0</v>
      </c>
      <c r="G3" s="19" t="n">
        <v>0</v>
      </c>
      <c r="H3" s="38" t="n">
        <v>126.451612903226</v>
      </c>
      <c r="I3" s="38" t="n">
        <v>54.1935483870968</v>
      </c>
      <c r="J3" s="38" t="n">
        <v>31.6129032258065</v>
      </c>
      <c r="K3" s="38" t="n">
        <v>13.5483870967742</v>
      </c>
      <c r="L3" s="38" t="n">
        <v>32.5161290322581</v>
      </c>
      <c r="M3" s="38" t="n">
        <v>13.9354838709677</v>
      </c>
      <c r="N3" s="38" t="n">
        <v>269.23199938</v>
      </c>
      <c r="O3" s="38" t="n">
        <v>58.75199988</v>
      </c>
      <c r="P3" s="19" t="n">
        <f aca="false">AC4-AC3</f>
        <v>0</v>
      </c>
      <c r="Q3" s="19" t="n">
        <v>0</v>
      </c>
      <c r="R3" s="19" t="n">
        <v>0</v>
      </c>
      <c r="S3" s="19" t="n">
        <f aca="false">AD4-AD3</f>
        <v>0</v>
      </c>
      <c r="T3" s="12" t="s">
        <v>63</v>
      </c>
      <c r="U3" s="11"/>
      <c r="V3" s="18" t="n">
        <v>1</v>
      </c>
      <c r="W3" s="21" t="n">
        <v>9135</v>
      </c>
      <c r="X3" s="21" t="n">
        <v>11194</v>
      </c>
      <c r="Y3" s="21" t="n">
        <v>9505</v>
      </c>
      <c r="Z3" s="21" t="n">
        <v>10839</v>
      </c>
      <c r="AA3" s="21" t="n">
        <v>1282</v>
      </c>
      <c r="AB3" s="21" t="n">
        <v>3934</v>
      </c>
      <c r="AC3" s="21" t="n">
        <v>396</v>
      </c>
      <c r="AD3" s="21" t="n">
        <v>3537</v>
      </c>
      <c r="AI3" s="41"/>
      <c r="AJ3" s="6"/>
      <c r="AK3" s="6"/>
    </row>
    <row r="4" customFormat="false" ht="15.75" hidden="false" customHeight="false" outlineLevel="0" collapsed="false">
      <c r="A4" s="42" t="n">
        <f aca="false">A3+1</f>
        <v>45872</v>
      </c>
      <c r="B4" s="38" t="n">
        <v>909.46799954</v>
      </c>
      <c r="C4" s="38" t="n">
        <v>151.15799993</v>
      </c>
      <c r="D4" s="19" t="n">
        <f aca="false">W5-W4</f>
        <v>0</v>
      </c>
      <c r="E4" s="19" t="n">
        <v>0</v>
      </c>
      <c r="F4" s="19" t="n">
        <f aca="false">X5-X4</f>
        <v>0</v>
      </c>
      <c r="G4" s="19" t="n">
        <v>0</v>
      </c>
      <c r="H4" s="38" t="n">
        <v>126.451612903226</v>
      </c>
      <c r="I4" s="38" t="n">
        <v>54.1935483870968</v>
      </c>
      <c r="J4" s="38" t="n">
        <v>31.6129032258065</v>
      </c>
      <c r="K4" s="38" t="n">
        <v>13.5483870967742</v>
      </c>
      <c r="L4" s="38" t="n">
        <v>32.5161290322581</v>
      </c>
      <c r="M4" s="38" t="n">
        <v>13.9354838709677</v>
      </c>
      <c r="N4" s="38" t="n">
        <v>251.61599933</v>
      </c>
      <c r="O4" s="38" t="n">
        <v>49.03199991</v>
      </c>
      <c r="P4" s="19" t="n">
        <f aca="false">AC5-AC4</f>
        <v>0</v>
      </c>
      <c r="Q4" s="19" t="n">
        <v>0</v>
      </c>
      <c r="R4" s="19" t="n">
        <v>0</v>
      </c>
      <c r="S4" s="19" t="n">
        <f aca="false">AD5-AD4</f>
        <v>0</v>
      </c>
      <c r="T4" s="12" t="s">
        <v>46</v>
      </c>
      <c r="U4" s="11"/>
      <c r="V4" s="20" t="n">
        <f aca="false">V3+1</f>
        <v>2</v>
      </c>
      <c r="W4" s="21" t="n">
        <v>9135</v>
      </c>
      <c r="X4" s="21" t="n">
        <v>11194</v>
      </c>
      <c r="Y4" s="21" t="n">
        <v>9505</v>
      </c>
      <c r="Z4" s="21" t="n">
        <v>10839</v>
      </c>
      <c r="AA4" s="21" t="n">
        <v>1282</v>
      </c>
      <c r="AB4" s="21" t="n">
        <v>3934</v>
      </c>
      <c r="AC4" s="21" t="n">
        <v>396</v>
      </c>
      <c r="AD4" s="21" t="n">
        <v>3537</v>
      </c>
      <c r="AI4" s="41"/>
      <c r="AJ4" s="6"/>
      <c r="AK4" s="6"/>
    </row>
    <row r="5" customFormat="false" ht="15.75" hidden="false" customHeight="false" outlineLevel="0" collapsed="false">
      <c r="A5" s="42" t="n">
        <f aca="false">A4+1</f>
        <v>45873</v>
      </c>
      <c r="B5" s="38" t="n">
        <v>1187.92799952</v>
      </c>
      <c r="C5" s="38" t="n">
        <v>176.3999999</v>
      </c>
      <c r="D5" s="19" t="n">
        <f aca="false">W6-W5</f>
        <v>147</v>
      </c>
      <c r="E5" s="19" t="n">
        <v>0</v>
      </c>
      <c r="F5" s="19" t="n">
        <f aca="false">X6-X5</f>
        <v>180</v>
      </c>
      <c r="G5" s="19" t="n">
        <v>0</v>
      </c>
      <c r="H5" s="38" t="n">
        <v>126.451612903226</v>
      </c>
      <c r="I5" s="38" t="n">
        <v>54.1935483870968</v>
      </c>
      <c r="J5" s="38" t="n">
        <v>31.6129032258065</v>
      </c>
      <c r="K5" s="38" t="n">
        <v>13.5483870967742</v>
      </c>
      <c r="L5" s="38" t="n">
        <v>32.5161290322581</v>
      </c>
      <c r="M5" s="38" t="n">
        <v>13.9354838709677</v>
      </c>
      <c r="N5" s="38" t="n">
        <v>273.88799933</v>
      </c>
      <c r="O5" s="38" t="n">
        <v>59.3759999</v>
      </c>
      <c r="P5" s="19" t="n">
        <f aca="false">AC6-AC5</f>
        <v>2</v>
      </c>
      <c r="Q5" s="19" t="n">
        <v>0</v>
      </c>
      <c r="R5" s="19" t="n">
        <v>0</v>
      </c>
      <c r="S5" s="19" t="n">
        <f aca="false">AD6-AD5</f>
        <v>14</v>
      </c>
      <c r="T5" s="12" t="s">
        <v>46</v>
      </c>
      <c r="U5" s="11"/>
      <c r="V5" s="20" t="n">
        <f aca="false">V4+1</f>
        <v>3</v>
      </c>
      <c r="W5" s="21" t="n">
        <v>9135</v>
      </c>
      <c r="X5" s="21" t="n">
        <v>11194</v>
      </c>
      <c r="Y5" s="21" t="n">
        <v>9505</v>
      </c>
      <c r="Z5" s="21" t="n">
        <v>10839</v>
      </c>
      <c r="AA5" s="21" t="n">
        <v>1282</v>
      </c>
      <c r="AB5" s="21" t="n">
        <v>3934</v>
      </c>
      <c r="AC5" s="21" t="n">
        <v>396</v>
      </c>
      <c r="AD5" s="21" t="n">
        <v>3537</v>
      </c>
      <c r="AI5" s="41"/>
      <c r="AJ5" s="6"/>
      <c r="AK5" s="6"/>
    </row>
    <row r="6" customFormat="false" ht="35.05" hidden="false" customHeight="false" outlineLevel="0" collapsed="false">
      <c r="A6" s="42" t="n">
        <f aca="false">A5+1</f>
        <v>45874</v>
      </c>
      <c r="B6" s="38" t="n">
        <v>1195.69799952</v>
      </c>
      <c r="C6" s="38" t="n">
        <v>178.2479999</v>
      </c>
      <c r="D6" s="19" t="n">
        <f aca="false">W7-W6</f>
        <v>43</v>
      </c>
      <c r="E6" s="19" t="n">
        <v>0</v>
      </c>
      <c r="F6" s="19" t="n">
        <f aca="false">X7-X6</f>
        <v>51</v>
      </c>
      <c r="G6" s="19" t="n">
        <v>0</v>
      </c>
      <c r="H6" s="38" t="n">
        <v>126.451612903226</v>
      </c>
      <c r="I6" s="38" t="n">
        <v>54.1935483870968</v>
      </c>
      <c r="J6" s="38" t="n">
        <v>31.6129032258065</v>
      </c>
      <c r="K6" s="38" t="n">
        <v>13.5483870967742</v>
      </c>
      <c r="L6" s="38" t="n">
        <v>32.5161290322581</v>
      </c>
      <c r="M6" s="38" t="n">
        <v>13.9354838709677</v>
      </c>
      <c r="N6" s="38" t="n">
        <v>263.99999932</v>
      </c>
      <c r="O6" s="38" t="n">
        <v>52.0799999</v>
      </c>
      <c r="P6" s="19" t="n">
        <f aca="false">AC7-AC6</f>
        <v>0</v>
      </c>
      <c r="Q6" s="19" t="n">
        <v>0</v>
      </c>
      <c r="R6" s="19" t="n">
        <v>0</v>
      </c>
      <c r="S6" s="19" t="n">
        <f aca="false">AD7-AD6</f>
        <v>2</v>
      </c>
      <c r="T6" s="12" t="s">
        <v>64</v>
      </c>
      <c r="U6" s="11"/>
      <c r="V6" s="20" t="n">
        <f aca="false">V5+1</f>
        <v>4</v>
      </c>
      <c r="W6" s="12" t="n">
        <v>9282</v>
      </c>
      <c r="X6" s="12" t="n">
        <v>11374</v>
      </c>
      <c r="Y6" s="12" t="n">
        <v>9527</v>
      </c>
      <c r="Z6" s="12" t="n">
        <v>10841</v>
      </c>
      <c r="AA6" s="12" t="n">
        <v>1282</v>
      </c>
      <c r="AB6" s="12" t="n">
        <v>3950</v>
      </c>
      <c r="AC6" s="12" t="n">
        <v>398</v>
      </c>
      <c r="AD6" s="12" t="n">
        <v>3551</v>
      </c>
      <c r="AI6" s="41"/>
      <c r="AJ6" s="6"/>
      <c r="AK6" s="6"/>
    </row>
    <row r="7" customFormat="false" ht="15.75" hidden="false" customHeight="false" outlineLevel="0" collapsed="false">
      <c r="A7" s="42" t="n">
        <f aca="false">A6+1</f>
        <v>45875</v>
      </c>
      <c r="B7" s="38" t="n">
        <v>975.449999529999</v>
      </c>
      <c r="C7" s="38" t="n">
        <v>182.0279999</v>
      </c>
      <c r="D7" s="19" t="n">
        <f aca="false">W8-W7</f>
        <v>61</v>
      </c>
      <c r="E7" s="19" t="n">
        <v>0</v>
      </c>
      <c r="F7" s="19" t="n">
        <f aca="false">X8-X7</f>
        <v>20</v>
      </c>
      <c r="G7" s="19" t="n">
        <v>0</v>
      </c>
      <c r="H7" s="38" t="n">
        <v>126.451612903226</v>
      </c>
      <c r="I7" s="38" t="n">
        <v>54.1935483870968</v>
      </c>
      <c r="J7" s="38" t="n">
        <v>31.6129032258065</v>
      </c>
      <c r="K7" s="38" t="n">
        <v>13.5483870967742</v>
      </c>
      <c r="L7" s="38" t="n">
        <v>32.5161290322581</v>
      </c>
      <c r="M7" s="38" t="n">
        <v>13.9354838709677</v>
      </c>
      <c r="N7" s="38" t="n">
        <v>269.03999941</v>
      </c>
      <c r="O7" s="38" t="n">
        <v>52.05599989</v>
      </c>
      <c r="P7" s="19" t="n">
        <f aca="false">AC8-AC7</f>
        <v>1</v>
      </c>
      <c r="Q7" s="19" t="n">
        <v>0</v>
      </c>
      <c r="R7" s="19" t="n">
        <v>0</v>
      </c>
      <c r="S7" s="19" t="n">
        <f aca="false">AD8-AD7</f>
        <v>5</v>
      </c>
      <c r="T7" s="12" t="s">
        <v>65</v>
      </c>
      <c r="U7" s="11"/>
      <c r="V7" s="20" t="n">
        <f aca="false">V6+1</f>
        <v>5</v>
      </c>
      <c r="W7" s="12" t="n">
        <v>9325</v>
      </c>
      <c r="X7" s="12" t="n">
        <v>11425</v>
      </c>
      <c r="Y7" s="12" t="n">
        <v>9531</v>
      </c>
      <c r="Z7" s="12" t="n">
        <v>10842</v>
      </c>
      <c r="AA7" s="12" t="n">
        <v>1282</v>
      </c>
      <c r="AB7" s="12" t="n">
        <v>3953</v>
      </c>
      <c r="AC7" s="12" t="n">
        <v>398</v>
      </c>
      <c r="AD7" s="12" t="n">
        <v>3553</v>
      </c>
      <c r="AJ7" s="6"/>
      <c r="AK7" s="6"/>
    </row>
    <row r="8" customFormat="false" ht="23.85" hidden="false" customHeight="false" outlineLevel="0" collapsed="false">
      <c r="A8" s="42" t="n">
        <f aca="false">A7+1</f>
        <v>45876</v>
      </c>
      <c r="B8" s="38" t="n">
        <v>1538.16599949</v>
      </c>
      <c r="C8" s="38" t="n">
        <v>225.11999994</v>
      </c>
      <c r="D8" s="19" t="n">
        <f aca="false">W9-W8</f>
        <v>19</v>
      </c>
      <c r="E8" s="19" t="n">
        <v>0</v>
      </c>
      <c r="F8" s="19" t="n">
        <f aca="false">X9-X8</f>
        <v>47</v>
      </c>
      <c r="G8" s="19" t="n">
        <v>0</v>
      </c>
      <c r="H8" s="38" t="n">
        <v>126.451612903226</v>
      </c>
      <c r="I8" s="38" t="n">
        <v>54.1935483870968</v>
      </c>
      <c r="J8" s="38" t="n">
        <v>31.6129032258065</v>
      </c>
      <c r="K8" s="38" t="n">
        <v>13.5483870967742</v>
      </c>
      <c r="L8" s="38" t="n">
        <v>32.5161290322581</v>
      </c>
      <c r="M8" s="38" t="n">
        <v>13.9354838709677</v>
      </c>
      <c r="N8" s="38" t="n">
        <v>260.87999934</v>
      </c>
      <c r="O8" s="38" t="n">
        <v>60.83999989</v>
      </c>
      <c r="P8" s="19" t="n">
        <f aca="false">AC9-AC8</f>
        <v>1</v>
      </c>
      <c r="Q8" s="19" t="n">
        <v>0</v>
      </c>
      <c r="R8" s="19" t="n">
        <v>0</v>
      </c>
      <c r="S8" s="19" t="n">
        <f aca="false">AD9-AD8</f>
        <v>3</v>
      </c>
      <c r="T8" s="12" t="s">
        <v>66</v>
      </c>
      <c r="U8" s="11"/>
      <c r="V8" s="20" t="n">
        <f aca="false">V7+1</f>
        <v>6</v>
      </c>
      <c r="W8" s="12" t="n">
        <v>9386</v>
      </c>
      <c r="X8" s="12" t="n">
        <v>11445</v>
      </c>
      <c r="Y8" s="12" t="n">
        <v>9535</v>
      </c>
      <c r="Z8" s="12" t="n">
        <v>10842</v>
      </c>
      <c r="AA8" s="12" t="n">
        <v>1282</v>
      </c>
      <c r="AB8" s="12" t="n">
        <v>3958</v>
      </c>
      <c r="AC8" s="12" t="n">
        <v>399</v>
      </c>
      <c r="AD8" s="12" t="n">
        <v>3558</v>
      </c>
      <c r="AH8" s="43"/>
      <c r="AI8" s="43"/>
      <c r="AJ8" s="43"/>
      <c r="AK8" s="44"/>
      <c r="AL8" s="44"/>
      <c r="AM8" s="44"/>
    </row>
    <row r="9" customFormat="false" ht="23.85" hidden="false" customHeight="false" outlineLevel="0" collapsed="false">
      <c r="A9" s="42" t="n">
        <f aca="false">A8+1</f>
        <v>45877</v>
      </c>
      <c r="B9" s="38" t="n">
        <v>1316.95199953</v>
      </c>
      <c r="C9" s="38" t="n">
        <v>202.01999991</v>
      </c>
      <c r="D9" s="19" t="n">
        <f aca="false">W10-W9</f>
        <v>69</v>
      </c>
      <c r="E9" s="19" t="n">
        <v>0</v>
      </c>
      <c r="F9" s="19" t="n">
        <f aca="false">X10-X9</f>
        <v>29</v>
      </c>
      <c r="G9" s="19" t="n">
        <v>0</v>
      </c>
      <c r="H9" s="38" t="n">
        <v>126.451612903226</v>
      </c>
      <c r="I9" s="38" t="n">
        <v>54.1935483870968</v>
      </c>
      <c r="J9" s="38" t="n">
        <v>31.6129032258065</v>
      </c>
      <c r="K9" s="38" t="n">
        <v>13.5483870967742</v>
      </c>
      <c r="L9" s="38" t="n">
        <v>32.5161290322581</v>
      </c>
      <c r="M9" s="38" t="n">
        <v>13.9354838709677</v>
      </c>
      <c r="N9" s="38" t="n">
        <v>277.10399937</v>
      </c>
      <c r="O9" s="38" t="n">
        <v>49.51199988</v>
      </c>
      <c r="P9" s="19" t="n">
        <f aca="false">AC10-AC9</f>
        <v>1</v>
      </c>
      <c r="Q9" s="19" t="n">
        <v>0</v>
      </c>
      <c r="R9" s="19" t="n">
        <v>0</v>
      </c>
      <c r="S9" s="19" t="n">
        <f aca="false">AD10-AD9</f>
        <v>7</v>
      </c>
      <c r="T9" s="12" t="s">
        <v>67</v>
      </c>
      <c r="U9" s="11"/>
      <c r="V9" s="20" t="n">
        <f aca="false">V8+1</f>
        <v>7</v>
      </c>
      <c r="W9" s="12" t="n">
        <v>9405</v>
      </c>
      <c r="X9" s="12" t="n">
        <v>11492</v>
      </c>
      <c r="Y9" s="12" t="n">
        <v>9541</v>
      </c>
      <c r="Z9" s="12" t="n">
        <v>10843</v>
      </c>
      <c r="AA9" s="12" t="n">
        <v>1283</v>
      </c>
      <c r="AB9" s="12" t="n">
        <v>3961</v>
      </c>
      <c r="AC9" s="12" t="n">
        <v>400</v>
      </c>
      <c r="AD9" s="12" t="n">
        <v>3561</v>
      </c>
      <c r="AH9" s="41"/>
      <c r="AI9" s="41"/>
      <c r="AL9" s="6"/>
      <c r="AM9" s="45"/>
      <c r="AN9" s="45"/>
    </row>
    <row r="10" customFormat="false" ht="15.75" hidden="false" customHeight="false" outlineLevel="0" collapsed="false">
      <c r="A10" s="42" t="n">
        <f aca="false">A9+1</f>
        <v>45878</v>
      </c>
      <c r="B10" s="38" t="n">
        <v>992.92199947</v>
      </c>
      <c r="C10" s="38" t="n">
        <v>163.12799994</v>
      </c>
      <c r="D10" s="19" t="n">
        <f aca="false">W11-W10</f>
        <v>46</v>
      </c>
      <c r="E10" s="19" t="n">
        <v>0</v>
      </c>
      <c r="F10" s="19" t="n">
        <f aca="false">X11-X10</f>
        <v>39</v>
      </c>
      <c r="G10" s="19" t="n">
        <v>0</v>
      </c>
      <c r="H10" s="38" t="n">
        <v>126.451612903226</v>
      </c>
      <c r="I10" s="38" t="n">
        <v>54.1935483870968</v>
      </c>
      <c r="J10" s="38" t="n">
        <v>31.6129032258065</v>
      </c>
      <c r="K10" s="38" t="n">
        <v>13.5483870967742</v>
      </c>
      <c r="L10" s="38" t="n">
        <v>32.5161290322581</v>
      </c>
      <c r="M10" s="38" t="n">
        <v>13.9354838709677</v>
      </c>
      <c r="N10" s="38" t="n">
        <v>251.3999993</v>
      </c>
      <c r="O10" s="38" t="n">
        <v>45.95999991</v>
      </c>
      <c r="P10" s="19" t="n">
        <f aca="false">AC11-AC10</f>
        <v>0</v>
      </c>
      <c r="Q10" s="19" t="n">
        <v>0</v>
      </c>
      <c r="R10" s="19" t="n">
        <v>0</v>
      </c>
      <c r="S10" s="19" t="n">
        <f aca="false">AD11-AD10</f>
        <v>0</v>
      </c>
      <c r="T10" s="12" t="s">
        <v>46</v>
      </c>
      <c r="U10" s="11"/>
      <c r="V10" s="20" t="n">
        <f aca="false">V9+1</f>
        <v>8</v>
      </c>
      <c r="W10" s="12" t="n">
        <v>9474</v>
      </c>
      <c r="X10" s="12" t="n">
        <v>11521</v>
      </c>
      <c r="Y10" s="12" t="n">
        <v>9541</v>
      </c>
      <c r="Z10" s="12" t="n">
        <v>10844</v>
      </c>
      <c r="AA10" s="12" t="n">
        <v>1283</v>
      </c>
      <c r="AB10" s="12" t="n">
        <v>3968</v>
      </c>
      <c r="AC10" s="12" t="n">
        <v>401</v>
      </c>
      <c r="AD10" s="12" t="n">
        <v>3568</v>
      </c>
      <c r="AH10" s="41"/>
      <c r="AI10" s="41"/>
      <c r="AL10" s="6"/>
      <c r="AM10" s="45"/>
      <c r="AN10" s="45"/>
    </row>
    <row r="11" customFormat="false" ht="15.75" hidden="false" customHeight="false" outlineLevel="0" collapsed="false">
      <c r="A11" s="42" t="n">
        <f aca="false">A10+1</f>
        <v>45879</v>
      </c>
      <c r="B11" s="38" t="n">
        <v>841.3439995</v>
      </c>
      <c r="C11" s="38" t="n">
        <v>143.72399993</v>
      </c>
      <c r="D11" s="19" t="n">
        <f aca="false">W12-W11</f>
        <v>3</v>
      </c>
      <c r="E11" s="19" t="n">
        <v>0</v>
      </c>
      <c r="F11" s="19" t="n">
        <f aca="false">X12-X11</f>
        <v>30</v>
      </c>
      <c r="G11" s="19" t="n">
        <v>0</v>
      </c>
      <c r="H11" s="38" t="n">
        <v>126.451612903226</v>
      </c>
      <c r="I11" s="38" t="n">
        <v>54.1935483870968</v>
      </c>
      <c r="J11" s="38" t="n">
        <v>31.6129032258065</v>
      </c>
      <c r="K11" s="38" t="n">
        <v>13.5483870967742</v>
      </c>
      <c r="L11" s="38" t="n">
        <v>32.5161290322581</v>
      </c>
      <c r="M11" s="38" t="n">
        <v>13.9354838709677</v>
      </c>
      <c r="N11" s="38" t="n">
        <v>232.34399938</v>
      </c>
      <c r="O11" s="38" t="n">
        <v>57.16799991</v>
      </c>
      <c r="P11" s="19" t="n">
        <f aca="false">AC12-AC11</f>
        <v>0</v>
      </c>
      <c r="Q11" s="19" t="n">
        <v>0</v>
      </c>
      <c r="R11" s="19" t="n">
        <v>0</v>
      </c>
      <c r="S11" s="19" t="n">
        <f aca="false">AD12-AD11</f>
        <v>4</v>
      </c>
      <c r="T11" s="12" t="s">
        <v>46</v>
      </c>
      <c r="U11" s="11"/>
      <c r="V11" s="20" t="n">
        <f aca="false">V10+1</f>
        <v>9</v>
      </c>
      <c r="W11" s="12" t="n">
        <v>9520</v>
      </c>
      <c r="X11" s="12" t="n">
        <v>11560</v>
      </c>
      <c r="Y11" s="12" t="n">
        <v>9551</v>
      </c>
      <c r="Z11" s="12" t="n">
        <v>10844</v>
      </c>
      <c r="AA11" s="12" t="n">
        <v>1283</v>
      </c>
      <c r="AB11" s="12" t="n">
        <v>3970</v>
      </c>
      <c r="AC11" s="12" t="n">
        <v>401</v>
      </c>
      <c r="AD11" s="12" t="n">
        <v>3568</v>
      </c>
      <c r="AH11" s="41"/>
      <c r="AI11" s="41"/>
      <c r="AL11" s="6"/>
      <c r="AM11" s="45"/>
      <c r="AN11" s="45"/>
    </row>
    <row r="12" customFormat="false" ht="23.85" hidden="false" customHeight="false" outlineLevel="0" collapsed="false">
      <c r="A12" s="42" t="n">
        <f aca="false">A11+1</f>
        <v>45880</v>
      </c>
      <c r="B12" s="38" t="n">
        <v>1162.30799948</v>
      </c>
      <c r="C12" s="38" t="n">
        <v>190.46999993</v>
      </c>
      <c r="D12" s="19" t="n">
        <f aca="false">W13-W12</f>
        <v>13</v>
      </c>
      <c r="E12" s="19" t="n">
        <v>0</v>
      </c>
      <c r="F12" s="19" t="n">
        <f aca="false">X13-X12</f>
        <v>51</v>
      </c>
      <c r="G12" s="19" t="n">
        <v>0</v>
      </c>
      <c r="H12" s="38" t="n">
        <v>126.451612903226</v>
      </c>
      <c r="I12" s="38" t="n">
        <v>54.1935483870968</v>
      </c>
      <c r="J12" s="38" t="n">
        <v>31.6129032258065</v>
      </c>
      <c r="K12" s="38" t="n">
        <v>13.5483870967742</v>
      </c>
      <c r="L12" s="38" t="n">
        <v>32.5161290322581</v>
      </c>
      <c r="M12" s="38" t="n">
        <v>13.9354838709677</v>
      </c>
      <c r="N12" s="38" t="n">
        <v>227.95199948</v>
      </c>
      <c r="O12" s="38" t="n">
        <v>55.75199988</v>
      </c>
      <c r="P12" s="19" t="n">
        <f aca="false">AC13-AC12</f>
        <v>0</v>
      </c>
      <c r="Q12" s="19" t="n">
        <v>0</v>
      </c>
      <c r="R12" s="19" t="n">
        <v>0</v>
      </c>
      <c r="S12" s="19" t="n">
        <f aca="false">AD13-AD12</f>
        <v>0</v>
      </c>
      <c r="T12" s="12" t="s">
        <v>68</v>
      </c>
      <c r="U12" s="11"/>
      <c r="V12" s="20" t="n">
        <f aca="false">V11+1</f>
        <v>10</v>
      </c>
      <c r="W12" s="12" t="n">
        <v>9523</v>
      </c>
      <c r="X12" s="12" t="n">
        <v>11590</v>
      </c>
      <c r="Y12" s="12" t="n">
        <v>9559</v>
      </c>
      <c r="Z12" s="12" t="n">
        <v>10844</v>
      </c>
      <c r="AA12" s="12" t="n">
        <v>1284</v>
      </c>
      <c r="AB12" s="12" t="n">
        <v>3973</v>
      </c>
      <c r="AC12" s="12" t="n">
        <v>401</v>
      </c>
      <c r="AD12" s="12" t="n">
        <v>3572</v>
      </c>
      <c r="AH12" s="41"/>
      <c r="AI12" s="41"/>
      <c r="AL12" s="6"/>
      <c r="AM12" s="45"/>
      <c r="AN12" s="45"/>
    </row>
    <row r="13" customFormat="false" ht="23.85" hidden="false" customHeight="false" outlineLevel="0" collapsed="false">
      <c r="A13" s="42" t="n">
        <f aca="false">A12+1</f>
        <v>45881</v>
      </c>
      <c r="B13" s="38" t="n">
        <v>1301.07599956</v>
      </c>
      <c r="C13" s="38" t="n">
        <v>234.65399994</v>
      </c>
      <c r="D13" s="19" t="n">
        <f aca="false">W14-W13</f>
        <v>42</v>
      </c>
      <c r="E13" s="19" t="n">
        <v>0</v>
      </c>
      <c r="F13" s="19" t="n">
        <f aca="false">X14-X13</f>
        <v>36</v>
      </c>
      <c r="G13" s="19" t="n">
        <v>0</v>
      </c>
      <c r="H13" s="38" t="n">
        <v>126.451612903226</v>
      </c>
      <c r="I13" s="38" t="n">
        <v>54.1935483870968</v>
      </c>
      <c r="J13" s="38" t="n">
        <v>31.6129032258065</v>
      </c>
      <c r="K13" s="38" t="n">
        <v>13.5483870967742</v>
      </c>
      <c r="L13" s="38" t="n">
        <v>32.5161290322581</v>
      </c>
      <c r="M13" s="38" t="n">
        <v>13.9354838709677</v>
      </c>
      <c r="N13" s="38" t="n">
        <v>247.17599936</v>
      </c>
      <c r="O13" s="38" t="n">
        <v>58.67999991</v>
      </c>
      <c r="P13" s="19" t="n">
        <f aca="false">AC14-AC13</f>
        <v>1</v>
      </c>
      <c r="Q13" s="19" t="n">
        <v>0</v>
      </c>
      <c r="R13" s="19" t="n">
        <v>0</v>
      </c>
      <c r="S13" s="19" t="n">
        <f aca="false">AD14-AD13</f>
        <v>9</v>
      </c>
      <c r="T13" s="12" t="s">
        <v>69</v>
      </c>
      <c r="U13" s="11"/>
      <c r="V13" s="20" t="n">
        <f aca="false">V12+1</f>
        <v>11</v>
      </c>
      <c r="W13" s="21" t="n">
        <v>9536</v>
      </c>
      <c r="X13" s="21" t="n">
        <v>11641</v>
      </c>
      <c r="Y13" s="21" t="n">
        <v>9563</v>
      </c>
      <c r="Z13" s="21" t="n">
        <v>10846</v>
      </c>
      <c r="AA13" s="21" t="n">
        <v>1284</v>
      </c>
      <c r="AB13" s="21" t="n">
        <v>3973</v>
      </c>
      <c r="AC13" s="21" t="n">
        <v>401</v>
      </c>
      <c r="AD13" s="21" t="n">
        <v>3572</v>
      </c>
      <c r="AH13" s="41"/>
      <c r="AI13" s="41"/>
      <c r="AL13" s="6"/>
      <c r="AM13" s="45"/>
      <c r="AN13" s="45"/>
    </row>
    <row r="14" customFormat="false" ht="23.85" hidden="false" customHeight="false" outlineLevel="0" collapsed="false">
      <c r="A14" s="42" t="n">
        <f aca="false">A13+1</f>
        <v>45882</v>
      </c>
      <c r="B14" s="38" t="n">
        <v>1500.5759995</v>
      </c>
      <c r="C14" s="38" t="n">
        <v>232.09199994</v>
      </c>
      <c r="D14" s="19" t="n">
        <f aca="false">W15-W14</f>
        <v>7</v>
      </c>
      <c r="E14" s="19" t="n">
        <v>0</v>
      </c>
      <c r="F14" s="19" t="n">
        <f aca="false">X15-X14</f>
        <v>16</v>
      </c>
      <c r="G14" s="19" t="n">
        <v>0</v>
      </c>
      <c r="H14" s="38" t="n">
        <v>126.451612903226</v>
      </c>
      <c r="I14" s="38" t="n">
        <v>54.1935483870968</v>
      </c>
      <c r="J14" s="38" t="n">
        <v>31.6129032258065</v>
      </c>
      <c r="K14" s="38" t="n">
        <v>13.5483870967742</v>
      </c>
      <c r="L14" s="38" t="n">
        <v>32.5161290322581</v>
      </c>
      <c r="M14" s="38" t="n">
        <v>13.9354838709677</v>
      </c>
      <c r="N14" s="38" t="n">
        <v>258.83999937</v>
      </c>
      <c r="O14" s="38" t="n">
        <v>54.2879999</v>
      </c>
      <c r="P14" s="19" t="n">
        <f aca="false">AC15-AC14</f>
        <v>0</v>
      </c>
      <c r="Q14" s="19" t="n">
        <v>0</v>
      </c>
      <c r="R14" s="19" t="n">
        <v>0</v>
      </c>
      <c r="S14" s="19" t="n">
        <f aca="false">AD15-AD14</f>
        <v>0</v>
      </c>
      <c r="T14" s="12" t="s">
        <v>69</v>
      </c>
      <c r="U14" s="11"/>
      <c r="V14" s="20" t="n">
        <f aca="false">V13+1</f>
        <v>12</v>
      </c>
      <c r="W14" s="12" t="n">
        <v>9578</v>
      </c>
      <c r="X14" s="12" t="n">
        <v>11677</v>
      </c>
      <c r="Y14" s="12" t="n">
        <v>9569</v>
      </c>
      <c r="Z14" s="12" t="n">
        <v>10847</v>
      </c>
      <c r="AA14" s="12" t="n">
        <v>1284</v>
      </c>
      <c r="AB14" s="12" t="n">
        <v>3980</v>
      </c>
      <c r="AC14" s="12" t="n">
        <v>402</v>
      </c>
      <c r="AD14" s="12" t="n">
        <v>3581</v>
      </c>
      <c r="AN14" s="45"/>
    </row>
    <row r="15" customFormat="false" ht="23.85" hidden="false" customHeight="false" outlineLevel="0" collapsed="false">
      <c r="A15" s="42" t="n">
        <f aca="false">A14+1</f>
        <v>45883</v>
      </c>
      <c r="B15" s="38" t="n">
        <v>1602.25799944</v>
      </c>
      <c r="C15" s="38" t="n">
        <v>214.1999999</v>
      </c>
      <c r="D15" s="19" t="n">
        <f aca="false">W16-W15</f>
        <v>90</v>
      </c>
      <c r="E15" s="19" t="n">
        <v>0</v>
      </c>
      <c r="F15" s="19" t="n">
        <f aca="false">X16-X15</f>
        <v>95</v>
      </c>
      <c r="G15" s="19" t="n">
        <v>0</v>
      </c>
      <c r="H15" s="38" t="n">
        <v>126.451612903226</v>
      </c>
      <c r="I15" s="38" t="n">
        <v>54.1935483870968</v>
      </c>
      <c r="J15" s="38" t="n">
        <v>31.6129032258065</v>
      </c>
      <c r="K15" s="38" t="n">
        <v>13.5483870967742</v>
      </c>
      <c r="L15" s="38" t="n">
        <v>32.5161290322581</v>
      </c>
      <c r="M15" s="38" t="n">
        <v>13.9354838709677</v>
      </c>
      <c r="N15" s="38" t="n">
        <v>299.83199937</v>
      </c>
      <c r="O15" s="38" t="n">
        <v>60.93599992</v>
      </c>
      <c r="P15" s="19" t="n">
        <f aca="false">AC16-AC15</f>
        <v>1</v>
      </c>
      <c r="Q15" s="19" t="n">
        <v>0</v>
      </c>
      <c r="R15" s="19" t="n">
        <v>0</v>
      </c>
      <c r="S15" s="19" t="n">
        <f aca="false">AD16-AD15</f>
        <v>4</v>
      </c>
      <c r="T15" s="12" t="s">
        <v>69</v>
      </c>
      <c r="U15" s="11"/>
      <c r="V15" s="20" t="n">
        <f aca="false">V14+1</f>
        <v>13</v>
      </c>
      <c r="W15" s="12" t="n">
        <v>9585</v>
      </c>
      <c r="X15" s="12" t="n">
        <v>11693</v>
      </c>
      <c r="Y15" s="12" t="n">
        <v>9572</v>
      </c>
      <c r="Z15" s="12" t="n">
        <v>10847</v>
      </c>
      <c r="AA15" s="12" t="n">
        <v>1285</v>
      </c>
      <c r="AB15" s="12" t="n">
        <v>3984</v>
      </c>
      <c r="AC15" s="12" t="n">
        <v>402</v>
      </c>
      <c r="AD15" s="12" t="n">
        <v>3581</v>
      </c>
      <c r="AI15" s="46"/>
    </row>
    <row r="16" customFormat="false" ht="23.85" hidden="false" customHeight="false" outlineLevel="0" collapsed="false">
      <c r="A16" s="42" t="n">
        <f aca="false">A15+1</f>
        <v>45884</v>
      </c>
      <c r="B16" s="38" t="n">
        <v>1123.96199952</v>
      </c>
      <c r="C16" s="38" t="n">
        <v>181.60799991</v>
      </c>
      <c r="D16" s="19" t="n">
        <f aca="false">W17-W16</f>
        <v>53</v>
      </c>
      <c r="E16" s="19" t="n">
        <v>0</v>
      </c>
      <c r="F16" s="19" t="n">
        <f aca="false">X17-X16</f>
        <v>64</v>
      </c>
      <c r="G16" s="19" t="n">
        <v>0</v>
      </c>
      <c r="H16" s="38" t="n">
        <v>126.451612903226</v>
      </c>
      <c r="I16" s="38" t="n">
        <v>54.1935483870968</v>
      </c>
      <c r="J16" s="38" t="n">
        <v>31.6129032258065</v>
      </c>
      <c r="K16" s="38" t="n">
        <v>13.5483870967742</v>
      </c>
      <c r="L16" s="38" t="n">
        <v>32.5161290322581</v>
      </c>
      <c r="M16" s="38" t="n">
        <v>13.9354838709677</v>
      </c>
      <c r="N16" s="38" t="n">
        <v>258.45599933</v>
      </c>
      <c r="O16" s="38" t="n">
        <v>61.87199992</v>
      </c>
      <c r="P16" s="19" t="n">
        <f aca="false">AC17-AC16</f>
        <v>1</v>
      </c>
      <c r="Q16" s="19" t="n">
        <v>0</v>
      </c>
      <c r="R16" s="19" t="n">
        <v>0</v>
      </c>
      <c r="S16" s="19" t="n">
        <f aca="false">AD17-AD16</f>
        <v>4</v>
      </c>
      <c r="T16" s="12" t="s">
        <v>70</v>
      </c>
      <c r="U16" s="11"/>
      <c r="V16" s="20" t="n">
        <f aca="false">V15+1</f>
        <v>14</v>
      </c>
      <c r="W16" s="22" t="n">
        <v>9675</v>
      </c>
      <c r="X16" s="22" t="n">
        <v>11788</v>
      </c>
      <c r="Y16" s="22" t="n">
        <v>9574</v>
      </c>
      <c r="Z16" s="22" t="n">
        <v>10847</v>
      </c>
      <c r="AA16" s="22" t="n">
        <v>1285</v>
      </c>
      <c r="AB16" s="22" t="n">
        <v>3988</v>
      </c>
      <c r="AC16" s="22" t="n">
        <v>403</v>
      </c>
      <c r="AD16" s="22" t="n">
        <v>3585</v>
      </c>
    </row>
    <row r="17" customFormat="false" ht="15.75" hidden="false" customHeight="false" outlineLevel="0" collapsed="false">
      <c r="A17" s="42" t="n">
        <f aca="false">A16+1</f>
        <v>45885</v>
      </c>
      <c r="B17" s="38" t="n">
        <v>1055.50199956</v>
      </c>
      <c r="C17" s="38" t="n">
        <v>184.84199991</v>
      </c>
      <c r="D17" s="19" t="n">
        <f aca="false">W18-W17</f>
        <v>0</v>
      </c>
      <c r="E17" s="19" t="n">
        <v>0</v>
      </c>
      <c r="F17" s="19" t="n">
        <f aca="false">X18-X17</f>
        <v>0</v>
      </c>
      <c r="G17" s="19" t="n">
        <v>0</v>
      </c>
      <c r="H17" s="38" t="n">
        <v>126.451612903226</v>
      </c>
      <c r="I17" s="38" t="n">
        <v>54.1935483870968</v>
      </c>
      <c r="J17" s="38" t="n">
        <v>31.6129032258065</v>
      </c>
      <c r="K17" s="38" t="n">
        <v>13.5483870967742</v>
      </c>
      <c r="L17" s="38" t="n">
        <v>32.5161290322581</v>
      </c>
      <c r="M17" s="38" t="n">
        <v>13.9354838709677</v>
      </c>
      <c r="N17" s="38" t="n">
        <v>259.39199943</v>
      </c>
      <c r="O17" s="38" t="n">
        <v>56.6879999</v>
      </c>
      <c r="P17" s="19" t="n">
        <f aca="false">AC18-AC17</f>
        <v>0</v>
      </c>
      <c r="Q17" s="19" t="n">
        <v>0</v>
      </c>
      <c r="R17" s="19" t="n">
        <v>0</v>
      </c>
      <c r="S17" s="19" t="n">
        <f aca="false">AD18-AD17</f>
        <v>0</v>
      </c>
      <c r="T17" s="12" t="s">
        <v>46</v>
      </c>
      <c r="U17" s="11"/>
      <c r="V17" s="20" t="n">
        <f aca="false">V16+1</f>
        <v>15</v>
      </c>
      <c r="W17" s="22" t="n">
        <v>9728</v>
      </c>
      <c r="X17" s="22" t="n">
        <v>11852</v>
      </c>
      <c r="Y17" s="22" t="n">
        <v>9583</v>
      </c>
      <c r="Z17" s="22" t="n">
        <v>10848</v>
      </c>
      <c r="AA17" s="22" t="n">
        <v>1285</v>
      </c>
      <c r="AB17" s="22" t="n">
        <v>3993</v>
      </c>
      <c r="AC17" s="22" t="n">
        <v>404</v>
      </c>
      <c r="AD17" s="22" t="n">
        <v>3589</v>
      </c>
    </row>
    <row r="18" customFormat="false" ht="15.75" hidden="false" customHeight="false" outlineLevel="0" collapsed="false">
      <c r="A18" s="42" t="n">
        <f aca="false">A17+1</f>
        <v>45886</v>
      </c>
      <c r="B18" s="38" t="n">
        <v>1154.28599955</v>
      </c>
      <c r="C18" s="38" t="n">
        <v>197.60999991</v>
      </c>
      <c r="D18" s="19" t="n">
        <f aca="false">W19-W18</f>
        <v>43</v>
      </c>
      <c r="E18" s="19" t="n">
        <v>0</v>
      </c>
      <c r="F18" s="19" t="n">
        <f aca="false">X19-X18</f>
        <v>119</v>
      </c>
      <c r="G18" s="19" t="n">
        <v>0</v>
      </c>
      <c r="H18" s="38" t="n">
        <v>126.451612903226</v>
      </c>
      <c r="I18" s="38" t="n">
        <v>54.1935483870968</v>
      </c>
      <c r="J18" s="38" t="n">
        <v>31.6129032258065</v>
      </c>
      <c r="K18" s="38" t="n">
        <v>13.5483870967742</v>
      </c>
      <c r="L18" s="38" t="n">
        <v>32.5161290322581</v>
      </c>
      <c r="M18" s="38" t="n">
        <v>13.9354838709677</v>
      </c>
      <c r="N18" s="38" t="n">
        <v>277.94399947</v>
      </c>
      <c r="O18" s="38" t="n">
        <v>62.56799991</v>
      </c>
      <c r="P18" s="19" t="n">
        <f aca="false">AC19-AC18</f>
        <v>0</v>
      </c>
      <c r="Q18" s="19" t="n">
        <v>0</v>
      </c>
      <c r="R18" s="19" t="n">
        <v>0</v>
      </c>
      <c r="S18" s="19" t="n">
        <f aca="false">AD19-AD18</f>
        <v>7</v>
      </c>
      <c r="T18" s="12" t="s">
        <v>46</v>
      </c>
      <c r="U18" s="11"/>
      <c r="V18" s="20" t="n">
        <f aca="false">V17+1</f>
        <v>16</v>
      </c>
      <c r="W18" s="22" t="n">
        <v>9728</v>
      </c>
      <c r="X18" s="22" t="n">
        <v>11852</v>
      </c>
      <c r="Y18" s="22" t="n">
        <v>9583</v>
      </c>
      <c r="Z18" s="22" t="n">
        <v>10848</v>
      </c>
      <c r="AA18" s="22" t="n">
        <v>1285</v>
      </c>
      <c r="AB18" s="22" t="n">
        <v>3993</v>
      </c>
      <c r="AC18" s="22" t="n">
        <v>404</v>
      </c>
      <c r="AD18" s="22" t="n">
        <v>3589</v>
      </c>
    </row>
    <row r="19" customFormat="false" ht="23.85" hidden="false" customHeight="false" outlineLevel="0" collapsed="false">
      <c r="A19" s="42" t="n">
        <f aca="false">A18+1</f>
        <v>45887</v>
      </c>
      <c r="B19" s="38" t="n">
        <v>1681.51199949</v>
      </c>
      <c r="C19" s="38" t="n">
        <v>259.05599991</v>
      </c>
      <c r="D19" s="19" t="n">
        <f aca="false">W20-W19</f>
        <v>11</v>
      </c>
      <c r="E19" s="19" t="n">
        <v>0</v>
      </c>
      <c r="F19" s="19" t="n">
        <f aca="false">X20-X19</f>
        <v>59</v>
      </c>
      <c r="G19" s="19" t="n">
        <v>0</v>
      </c>
      <c r="H19" s="38" t="n">
        <v>126.451612903226</v>
      </c>
      <c r="I19" s="38" t="n">
        <v>54.1935483870968</v>
      </c>
      <c r="J19" s="38" t="n">
        <v>31.6129032258065</v>
      </c>
      <c r="K19" s="38" t="n">
        <v>13.5483870967742</v>
      </c>
      <c r="L19" s="38" t="n">
        <v>32.5161290322581</v>
      </c>
      <c r="M19" s="38" t="n">
        <v>13.9354838709677</v>
      </c>
      <c r="N19" s="38" t="n">
        <v>281.27999937</v>
      </c>
      <c r="O19" s="38" t="n">
        <v>61.5839999</v>
      </c>
      <c r="P19" s="19" t="n">
        <f aca="false">AC20-AC19</f>
        <v>0</v>
      </c>
      <c r="Q19" s="19" t="n">
        <v>0</v>
      </c>
      <c r="R19" s="19" t="n">
        <v>0</v>
      </c>
      <c r="S19" s="19" t="n">
        <f aca="false">AD20-AD19</f>
        <v>4</v>
      </c>
      <c r="T19" s="12" t="s">
        <v>71</v>
      </c>
      <c r="U19" s="23"/>
      <c r="V19" s="24" t="n">
        <f aca="false">V18+1</f>
        <v>17</v>
      </c>
      <c r="W19" s="25" t="n">
        <v>9771</v>
      </c>
      <c r="X19" s="25" t="n">
        <v>11971</v>
      </c>
      <c r="Y19" s="25" t="n">
        <v>9587</v>
      </c>
      <c r="Z19" s="25" t="n">
        <v>10850</v>
      </c>
      <c r="AA19" s="25" t="n">
        <v>1285</v>
      </c>
      <c r="AB19" s="25" t="n">
        <v>4001</v>
      </c>
      <c r="AC19" s="25" t="n">
        <v>404</v>
      </c>
      <c r="AD19" s="25" t="n">
        <v>3596</v>
      </c>
    </row>
    <row r="20" customFormat="false" ht="15.75" hidden="false" customHeight="false" outlineLevel="0" collapsed="false">
      <c r="A20" s="42" t="n">
        <f aca="false">A19+1</f>
        <v>45888</v>
      </c>
      <c r="B20" s="38" t="n">
        <v>1700.5379995</v>
      </c>
      <c r="C20" s="38" t="n">
        <v>254.05799991</v>
      </c>
      <c r="D20" s="19" t="n">
        <f aca="false">W21-W20</f>
        <v>80</v>
      </c>
      <c r="E20" s="19" t="n">
        <v>0</v>
      </c>
      <c r="F20" s="19" t="n">
        <f aca="false">X21-X20</f>
        <v>69</v>
      </c>
      <c r="G20" s="19" t="n">
        <v>0</v>
      </c>
      <c r="H20" s="38" t="n">
        <v>126.451612903226</v>
      </c>
      <c r="I20" s="38" t="n">
        <v>54.1935483870968</v>
      </c>
      <c r="J20" s="38" t="n">
        <v>31.6129032258065</v>
      </c>
      <c r="K20" s="38" t="n">
        <v>13.5483870967742</v>
      </c>
      <c r="L20" s="38" t="n">
        <v>32.5161290322581</v>
      </c>
      <c r="M20" s="38" t="n">
        <v>13.9354838709677</v>
      </c>
      <c r="N20" s="38" t="n">
        <v>293.13599932</v>
      </c>
      <c r="O20" s="38" t="n">
        <v>69.0959999</v>
      </c>
      <c r="P20" s="19" t="n">
        <f aca="false">AC21-AC20</f>
        <v>1</v>
      </c>
      <c r="Q20" s="19" t="n">
        <v>0</v>
      </c>
      <c r="R20" s="19" t="n">
        <v>0</v>
      </c>
      <c r="S20" s="19" t="n">
        <f aca="false">AD21-AD20</f>
        <v>4</v>
      </c>
      <c r="T20" s="12" t="s">
        <v>72</v>
      </c>
      <c r="U20" s="11"/>
      <c r="V20" s="24" t="n">
        <f aca="false">V19+1</f>
        <v>18</v>
      </c>
      <c r="W20" s="21" t="n">
        <v>9782</v>
      </c>
      <c r="X20" s="21" t="n">
        <v>12030</v>
      </c>
      <c r="Y20" s="21" t="n">
        <v>9590</v>
      </c>
      <c r="Z20" s="21" t="n">
        <v>10851</v>
      </c>
      <c r="AA20" s="21" t="n">
        <v>1285</v>
      </c>
      <c r="AB20" s="21" t="n">
        <v>4005</v>
      </c>
      <c r="AC20" s="21" t="n">
        <v>404</v>
      </c>
      <c r="AD20" s="21" t="n">
        <v>3600</v>
      </c>
    </row>
    <row r="21" customFormat="false" ht="15.75" hidden="false" customHeight="false" outlineLevel="0" collapsed="false">
      <c r="A21" s="42" t="n">
        <f aca="false">A20+1</f>
        <v>45889</v>
      </c>
      <c r="B21" s="38" t="n">
        <v>1751.35799949</v>
      </c>
      <c r="C21" s="38" t="n">
        <v>249.5219999</v>
      </c>
      <c r="D21" s="19" t="n">
        <f aca="false">W22-W21</f>
        <v>0</v>
      </c>
      <c r="E21" s="19" t="n">
        <v>0</v>
      </c>
      <c r="F21" s="19" t="n">
        <f aca="false">X22-X21</f>
        <v>0</v>
      </c>
      <c r="G21" s="19" t="n">
        <v>0</v>
      </c>
      <c r="H21" s="38" t="n">
        <v>126.451612903226</v>
      </c>
      <c r="I21" s="38" t="n">
        <v>54.1935483870968</v>
      </c>
      <c r="J21" s="38" t="n">
        <v>31.6129032258065</v>
      </c>
      <c r="K21" s="38" t="n">
        <v>13.5483870967742</v>
      </c>
      <c r="L21" s="38" t="n">
        <v>32.5161290322581</v>
      </c>
      <c r="M21" s="38" t="n">
        <v>13.9354838709677</v>
      </c>
      <c r="N21" s="38" t="n">
        <v>304.48799938</v>
      </c>
      <c r="O21" s="38" t="n">
        <v>66.38399991</v>
      </c>
      <c r="P21" s="19" t="n">
        <f aca="false">AC22-AC21</f>
        <v>0</v>
      </c>
      <c r="Q21" s="19" t="n">
        <v>0</v>
      </c>
      <c r="R21" s="19" t="n">
        <v>0</v>
      </c>
      <c r="S21" s="19" t="n">
        <f aca="false">AD22-AD21</f>
        <v>0</v>
      </c>
      <c r="T21" s="12" t="s">
        <v>73</v>
      </c>
      <c r="U21" s="11"/>
      <c r="V21" s="24" t="n">
        <f aca="false">V20+1</f>
        <v>19</v>
      </c>
      <c r="W21" s="21" t="n">
        <v>9862</v>
      </c>
      <c r="X21" s="21" t="n">
        <v>12099</v>
      </c>
      <c r="Y21" s="21" t="n">
        <v>9595</v>
      </c>
      <c r="Z21" s="21" t="n">
        <v>10851</v>
      </c>
      <c r="AA21" s="21" t="n">
        <v>1285</v>
      </c>
      <c r="AB21" s="21" t="n">
        <v>1010</v>
      </c>
      <c r="AC21" s="21" t="n">
        <v>405</v>
      </c>
      <c r="AD21" s="21" t="n">
        <v>3604</v>
      </c>
    </row>
    <row r="22" customFormat="false" ht="23.85" hidden="false" customHeight="false" outlineLevel="0" collapsed="false">
      <c r="A22" s="42" t="n">
        <f aca="false">A21+1</f>
        <v>45890</v>
      </c>
      <c r="B22" s="38" t="n">
        <v>1812.00599941</v>
      </c>
      <c r="C22" s="38" t="n">
        <v>297.69599991</v>
      </c>
      <c r="D22" s="19" t="n">
        <f aca="false">W23-W22</f>
        <v>0</v>
      </c>
      <c r="E22" s="19" t="n">
        <v>0</v>
      </c>
      <c r="F22" s="19" t="n">
        <f aca="false">X23-X22</f>
        <v>0</v>
      </c>
      <c r="G22" s="19" t="n">
        <v>0</v>
      </c>
      <c r="H22" s="38" t="n">
        <v>126.451612903226</v>
      </c>
      <c r="I22" s="38" t="n">
        <v>54.1935483870968</v>
      </c>
      <c r="J22" s="38" t="n">
        <v>31.6129032258065</v>
      </c>
      <c r="K22" s="38" t="n">
        <v>13.5483870967742</v>
      </c>
      <c r="L22" s="38" t="n">
        <v>32.5161290322581</v>
      </c>
      <c r="M22" s="38" t="n">
        <v>13.9354838709677</v>
      </c>
      <c r="N22" s="38" t="n">
        <v>343.60799935</v>
      </c>
      <c r="O22" s="38" t="n">
        <v>68.54399989</v>
      </c>
      <c r="P22" s="19" t="n">
        <f aca="false">AC23-AC22</f>
        <v>0</v>
      </c>
      <c r="Q22" s="19" t="n">
        <v>0</v>
      </c>
      <c r="R22" s="19" t="n">
        <v>0</v>
      </c>
      <c r="S22" s="19" t="n">
        <f aca="false">AD23-AD22</f>
        <v>0</v>
      </c>
      <c r="T22" s="12" t="s">
        <v>74</v>
      </c>
      <c r="U22" s="11"/>
      <c r="V22" s="24" t="n">
        <f aca="false">V21+1</f>
        <v>20</v>
      </c>
      <c r="W22" s="21" t="n">
        <v>9862</v>
      </c>
      <c r="X22" s="21" t="n">
        <v>12099</v>
      </c>
      <c r="Y22" s="21" t="n">
        <v>9595</v>
      </c>
      <c r="Z22" s="21" t="n">
        <v>10851</v>
      </c>
      <c r="AA22" s="21" t="n">
        <v>1285</v>
      </c>
      <c r="AB22" s="21" t="n">
        <v>1010</v>
      </c>
      <c r="AC22" s="21" t="n">
        <v>405</v>
      </c>
      <c r="AD22" s="21" t="n">
        <v>3604</v>
      </c>
    </row>
    <row r="23" customFormat="false" ht="15.75" hidden="false" customHeight="false" outlineLevel="0" collapsed="false">
      <c r="A23" s="42" t="n">
        <f aca="false">A22+1</f>
        <v>45891</v>
      </c>
      <c r="B23" s="38" t="n">
        <v>1335.64199945</v>
      </c>
      <c r="C23" s="38" t="n">
        <v>205.75799994</v>
      </c>
      <c r="D23" s="19" t="n">
        <f aca="false">W24-W23</f>
        <v>0</v>
      </c>
      <c r="E23" s="19" t="n">
        <v>0</v>
      </c>
      <c r="F23" s="19" t="n">
        <f aca="false">X24-X23</f>
        <v>0</v>
      </c>
      <c r="G23" s="19" t="n">
        <v>0</v>
      </c>
      <c r="H23" s="38" t="n">
        <v>126.451612903226</v>
      </c>
      <c r="I23" s="38" t="n">
        <v>54.1935483870968</v>
      </c>
      <c r="J23" s="38" t="n">
        <v>31.6129032258065</v>
      </c>
      <c r="K23" s="38" t="n">
        <v>13.5483870967742</v>
      </c>
      <c r="L23" s="38" t="n">
        <v>32.5161290322581</v>
      </c>
      <c r="M23" s="38" t="n">
        <v>13.9354838709677</v>
      </c>
      <c r="N23" s="38" t="n">
        <v>341.73599936</v>
      </c>
      <c r="O23" s="38" t="n">
        <v>62.68799988</v>
      </c>
      <c r="P23" s="19" t="n">
        <f aca="false">AC24-AC23</f>
        <v>0</v>
      </c>
      <c r="Q23" s="19" t="n">
        <v>0</v>
      </c>
      <c r="R23" s="19" t="n">
        <v>0</v>
      </c>
      <c r="S23" s="19" t="n">
        <f aca="false">AD24-AD23</f>
        <v>0</v>
      </c>
      <c r="T23" s="12" t="s">
        <v>75</v>
      </c>
      <c r="U23" s="11"/>
      <c r="V23" s="24" t="n">
        <f aca="false">V22+1</f>
        <v>21</v>
      </c>
      <c r="W23" s="21" t="n">
        <v>9862</v>
      </c>
      <c r="X23" s="21" t="n">
        <v>12099</v>
      </c>
      <c r="Y23" s="21" t="n">
        <v>9595</v>
      </c>
      <c r="Z23" s="21" t="n">
        <v>10851</v>
      </c>
      <c r="AA23" s="21" t="n">
        <v>1285</v>
      </c>
      <c r="AB23" s="21" t="n">
        <v>1010</v>
      </c>
      <c r="AC23" s="21" t="n">
        <v>405</v>
      </c>
      <c r="AD23" s="21" t="n">
        <v>3604</v>
      </c>
    </row>
    <row r="24" customFormat="false" ht="15.75" hidden="false" customHeight="false" outlineLevel="0" collapsed="false">
      <c r="A24" s="42" t="n">
        <f aca="false">A23+1</f>
        <v>45892</v>
      </c>
      <c r="B24" s="38" t="n">
        <v>1132.23599948</v>
      </c>
      <c r="C24" s="38" t="n">
        <v>196.26599994</v>
      </c>
      <c r="D24" s="19" t="n">
        <f aca="false">W25-W24</f>
        <v>223</v>
      </c>
      <c r="E24" s="19" t="n">
        <v>0</v>
      </c>
      <c r="F24" s="19" t="n">
        <f aca="false">X25-X24</f>
        <v>527</v>
      </c>
      <c r="G24" s="19" t="n">
        <v>0</v>
      </c>
      <c r="H24" s="38" t="n">
        <v>126.451612903226</v>
      </c>
      <c r="I24" s="38" t="n">
        <v>54.1935483870968</v>
      </c>
      <c r="J24" s="38" t="n">
        <v>31.6129032258065</v>
      </c>
      <c r="K24" s="38" t="n">
        <v>13.5483870967742</v>
      </c>
      <c r="L24" s="38" t="n">
        <v>32.5161290322581</v>
      </c>
      <c r="M24" s="38" t="n">
        <v>13.9354838709677</v>
      </c>
      <c r="N24" s="38" t="n">
        <v>306.07199936</v>
      </c>
      <c r="O24" s="38" t="n">
        <v>70.19999989</v>
      </c>
      <c r="P24" s="19" t="n">
        <f aca="false">AC25-AC24</f>
        <v>3</v>
      </c>
      <c r="Q24" s="19" t="n">
        <v>0</v>
      </c>
      <c r="R24" s="19" t="n">
        <v>0</v>
      </c>
      <c r="S24" s="19" t="n">
        <f aca="false">AD25-AD24</f>
        <v>18</v>
      </c>
      <c r="T24" s="12" t="s">
        <v>76</v>
      </c>
      <c r="U24" s="11"/>
      <c r="V24" s="24" t="n">
        <f aca="false">V23+1</f>
        <v>22</v>
      </c>
      <c r="W24" s="21" t="n">
        <v>9862</v>
      </c>
      <c r="X24" s="21" t="n">
        <v>12099</v>
      </c>
      <c r="Y24" s="21" t="n">
        <v>9595</v>
      </c>
      <c r="Z24" s="21" t="n">
        <v>10851</v>
      </c>
      <c r="AA24" s="21" t="n">
        <v>1285</v>
      </c>
      <c r="AB24" s="21" t="n">
        <v>1010</v>
      </c>
      <c r="AC24" s="21" t="n">
        <v>405</v>
      </c>
      <c r="AD24" s="21" t="n">
        <v>3604</v>
      </c>
    </row>
    <row r="25" customFormat="false" ht="15.75" hidden="false" customHeight="false" outlineLevel="0" collapsed="false">
      <c r="A25" s="42" t="n">
        <f aca="false">A24+1</f>
        <v>45893</v>
      </c>
      <c r="B25" s="38" t="n">
        <v>1166.5919995</v>
      </c>
      <c r="C25" s="38" t="n">
        <v>222.72599992</v>
      </c>
      <c r="D25" s="19" t="n">
        <f aca="false">W26-W25</f>
        <v>0</v>
      </c>
      <c r="E25" s="19" t="n">
        <v>0</v>
      </c>
      <c r="F25" s="19" t="n">
        <f aca="false">X26-X25</f>
        <v>0</v>
      </c>
      <c r="G25" s="19" t="n">
        <v>0</v>
      </c>
      <c r="H25" s="38" t="n">
        <v>126.451612903226</v>
      </c>
      <c r="I25" s="38" t="n">
        <v>54.1935483870968</v>
      </c>
      <c r="J25" s="38" t="n">
        <v>31.6129032258065</v>
      </c>
      <c r="K25" s="38" t="n">
        <v>13.5483870967742</v>
      </c>
      <c r="L25" s="38" t="n">
        <v>32.5161290322581</v>
      </c>
      <c r="M25" s="38" t="n">
        <v>13.9354838709677</v>
      </c>
      <c r="N25" s="38" t="n">
        <v>316.55999935</v>
      </c>
      <c r="O25" s="38" t="n">
        <v>65.25599988</v>
      </c>
      <c r="P25" s="19" t="n">
        <f aca="false">AC26-AC25</f>
        <v>0</v>
      </c>
      <c r="Q25" s="19" t="n">
        <v>0</v>
      </c>
      <c r="R25" s="19" t="n">
        <v>0</v>
      </c>
      <c r="S25" s="19" t="n">
        <f aca="false">AD26-AD25</f>
        <v>0</v>
      </c>
      <c r="T25" s="12" t="s">
        <v>46</v>
      </c>
      <c r="U25" s="11"/>
      <c r="V25" s="24" t="n">
        <f aca="false">V24+1</f>
        <v>23</v>
      </c>
      <c r="W25" s="27" t="n">
        <v>10085</v>
      </c>
      <c r="X25" s="27" t="n">
        <v>12626</v>
      </c>
      <c r="Y25" s="27" t="n">
        <v>9616</v>
      </c>
      <c r="Z25" s="27" t="n">
        <v>10855</v>
      </c>
      <c r="AA25" s="27" t="n">
        <v>1286</v>
      </c>
      <c r="AB25" s="27" t="n">
        <v>4031</v>
      </c>
      <c r="AC25" s="27" t="n">
        <v>408</v>
      </c>
      <c r="AD25" s="27" t="n">
        <v>3622</v>
      </c>
    </row>
    <row r="26" customFormat="false" ht="15.75" hidden="false" customHeight="false" outlineLevel="0" collapsed="false">
      <c r="A26" s="42" t="n">
        <f aca="false">A25+1</f>
        <v>45894</v>
      </c>
      <c r="B26" s="38" t="n">
        <v>1295.06999951</v>
      </c>
      <c r="C26" s="38" t="n">
        <v>237.3839999</v>
      </c>
      <c r="D26" s="19" t="n">
        <f aca="false">W27-W26</f>
        <v>0</v>
      </c>
      <c r="E26" s="19" t="n">
        <v>0</v>
      </c>
      <c r="F26" s="19" t="n">
        <f aca="false">X27-X26</f>
        <v>0</v>
      </c>
      <c r="G26" s="19" t="n">
        <v>0</v>
      </c>
      <c r="H26" s="38" t="n">
        <v>126.451612903226</v>
      </c>
      <c r="I26" s="38" t="n">
        <v>54.1935483870968</v>
      </c>
      <c r="J26" s="38" t="n">
        <v>31.6129032258065</v>
      </c>
      <c r="K26" s="38" t="n">
        <v>13.5483870967742</v>
      </c>
      <c r="L26" s="38" t="n">
        <v>32.5161290322581</v>
      </c>
      <c r="M26" s="38" t="n">
        <v>13.9354838709677</v>
      </c>
      <c r="N26" s="38" t="n">
        <v>352.91999939</v>
      </c>
      <c r="O26" s="38" t="n">
        <v>76.00799988</v>
      </c>
      <c r="P26" s="19" t="n">
        <f aca="false">AC27-AC26</f>
        <v>0</v>
      </c>
      <c r="Q26" s="19" t="n">
        <v>0</v>
      </c>
      <c r="R26" s="19" t="n">
        <v>0</v>
      </c>
      <c r="S26" s="19" t="n">
        <f aca="false">AD27-AD26</f>
        <v>0</v>
      </c>
      <c r="T26" s="12" t="s">
        <v>77</v>
      </c>
      <c r="U26" s="11"/>
      <c r="V26" s="26" t="n">
        <f aca="false">V25+1</f>
        <v>24</v>
      </c>
      <c r="W26" s="27" t="n">
        <v>10085</v>
      </c>
      <c r="X26" s="27" t="n">
        <v>12626</v>
      </c>
      <c r="Y26" s="27" t="n">
        <v>9616</v>
      </c>
      <c r="Z26" s="27" t="n">
        <v>10855</v>
      </c>
      <c r="AA26" s="27" t="n">
        <v>1286</v>
      </c>
      <c r="AB26" s="27" t="n">
        <v>4031</v>
      </c>
      <c r="AC26" s="27" t="n">
        <v>408</v>
      </c>
      <c r="AD26" s="27" t="n">
        <v>3622</v>
      </c>
    </row>
    <row r="27" customFormat="false" ht="23.85" hidden="false" customHeight="false" outlineLevel="0" collapsed="false">
      <c r="A27" s="42" t="n">
        <f aca="false">A26+1</f>
        <v>45895</v>
      </c>
      <c r="B27" s="38" t="n">
        <v>1794.36599948</v>
      </c>
      <c r="C27" s="38" t="n">
        <v>259.8539999</v>
      </c>
      <c r="D27" s="19" t="n">
        <f aca="false">W28-W27</f>
        <v>55</v>
      </c>
      <c r="E27" s="19" t="n">
        <v>0</v>
      </c>
      <c r="F27" s="19" t="n">
        <f aca="false">X28-X27</f>
        <v>114</v>
      </c>
      <c r="G27" s="19" t="n">
        <v>0</v>
      </c>
      <c r="H27" s="38" t="n">
        <v>126.451612903226</v>
      </c>
      <c r="I27" s="38" t="n">
        <v>54.1935483870968</v>
      </c>
      <c r="J27" s="38" t="n">
        <v>31.6129032258065</v>
      </c>
      <c r="K27" s="38" t="n">
        <v>13.5483870967742</v>
      </c>
      <c r="L27" s="38" t="n">
        <v>32.5161290322581</v>
      </c>
      <c r="M27" s="38" t="n">
        <v>13.9354838709677</v>
      </c>
      <c r="N27" s="38" t="n">
        <v>345.47999932</v>
      </c>
      <c r="O27" s="38" t="n">
        <v>71.03999993</v>
      </c>
      <c r="P27" s="19" t="n">
        <f aca="false">AC28-AC27</f>
        <v>0</v>
      </c>
      <c r="Q27" s="19" t="n">
        <v>0</v>
      </c>
      <c r="R27" s="19" t="n">
        <v>0</v>
      </c>
      <c r="S27" s="19" t="n">
        <f aca="false">AD28-AD27</f>
        <v>13</v>
      </c>
      <c r="T27" s="12" t="s">
        <v>78</v>
      </c>
      <c r="U27" s="11"/>
      <c r="V27" s="24" t="n">
        <f aca="false">V26+1</f>
        <v>25</v>
      </c>
      <c r="W27" s="27" t="n">
        <v>10085</v>
      </c>
      <c r="X27" s="27" t="n">
        <v>12626</v>
      </c>
      <c r="Y27" s="27" t="n">
        <v>9616</v>
      </c>
      <c r="Z27" s="27" t="n">
        <v>10855</v>
      </c>
      <c r="AA27" s="27" t="n">
        <v>1286</v>
      </c>
      <c r="AB27" s="27" t="n">
        <v>4031</v>
      </c>
      <c r="AC27" s="27" t="n">
        <v>408</v>
      </c>
      <c r="AD27" s="27" t="n">
        <v>3622</v>
      </c>
    </row>
    <row r="28" customFormat="false" ht="15.75" hidden="false" customHeight="false" outlineLevel="0" collapsed="false">
      <c r="A28" s="42" t="n">
        <f aca="false">A27+1</f>
        <v>45896</v>
      </c>
      <c r="B28" s="38" t="n">
        <v>1732.41599944</v>
      </c>
      <c r="C28" s="38" t="n">
        <v>247.00199992</v>
      </c>
      <c r="D28" s="19" t="n">
        <f aca="false">W29-W28</f>
        <v>76</v>
      </c>
      <c r="E28" s="19" t="n">
        <v>0</v>
      </c>
      <c r="F28" s="19" t="n">
        <f aca="false">X29-X28</f>
        <v>56</v>
      </c>
      <c r="G28" s="19" t="n">
        <v>0</v>
      </c>
      <c r="H28" s="38" t="n">
        <v>126.451612903226</v>
      </c>
      <c r="I28" s="38" t="n">
        <v>54.1935483870968</v>
      </c>
      <c r="J28" s="38" t="n">
        <v>31.6129032258065</v>
      </c>
      <c r="K28" s="38" t="n">
        <v>13.5483870967742</v>
      </c>
      <c r="L28" s="38" t="n">
        <v>32.5161290322581</v>
      </c>
      <c r="M28" s="38" t="n">
        <v>13.9354838709677</v>
      </c>
      <c r="N28" s="38" t="n">
        <v>319.17599932</v>
      </c>
      <c r="O28" s="38" t="n">
        <v>66.52799987</v>
      </c>
      <c r="P28" s="19" t="n">
        <f aca="false">AC29-AC28</f>
        <v>2</v>
      </c>
      <c r="Q28" s="19" t="n">
        <v>0</v>
      </c>
      <c r="R28" s="19" t="n">
        <v>0</v>
      </c>
      <c r="S28" s="19" t="n">
        <f aca="false">AD29-AD28</f>
        <v>3</v>
      </c>
      <c r="T28" s="12" t="s">
        <v>79</v>
      </c>
      <c r="U28" s="11"/>
      <c r="V28" s="24" t="n">
        <f aca="false">V27+1</f>
        <v>26</v>
      </c>
      <c r="W28" s="21" t="n">
        <v>10140</v>
      </c>
      <c r="X28" s="21" t="n">
        <v>12740</v>
      </c>
      <c r="Y28" s="21" t="n">
        <v>9620</v>
      </c>
      <c r="Z28" s="21" t="n">
        <v>10856</v>
      </c>
      <c r="AA28" s="21" t="n">
        <v>1286</v>
      </c>
      <c r="AB28" s="21" t="n">
        <v>4044</v>
      </c>
      <c r="AC28" s="21" t="n">
        <v>408</v>
      </c>
      <c r="AD28" s="21" t="n">
        <v>3635</v>
      </c>
    </row>
    <row r="29" customFormat="false" ht="15.75" hidden="false" customHeight="false" outlineLevel="0" collapsed="false">
      <c r="A29" s="42" t="n">
        <f aca="false">A28+1</f>
        <v>45897</v>
      </c>
      <c r="B29" s="38" t="n">
        <v>1754.80199948</v>
      </c>
      <c r="C29" s="38" t="n">
        <v>236.37599991</v>
      </c>
      <c r="D29" s="19" t="n">
        <f aca="false">W30-W29</f>
        <v>95</v>
      </c>
      <c r="E29" s="19" t="n">
        <v>0</v>
      </c>
      <c r="F29" s="19" t="n">
        <f aca="false">X30-X29</f>
        <v>75</v>
      </c>
      <c r="G29" s="19" t="n">
        <v>0</v>
      </c>
      <c r="H29" s="38" t="n">
        <v>126.451612903226</v>
      </c>
      <c r="I29" s="38" t="n">
        <v>54.1935483870968</v>
      </c>
      <c r="J29" s="38" t="n">
        <v>31.6129032258065</v>
      </c>
      <c r="K29" s="38" t="n">
        <v>13.5483870967742</v>
      </c>
      <c r="L29" s="38" t="n">
        <v>32.5161290322581</v>
      </c>
      <c r="M29" s="38" t="n">
        <v>13.9354838709677</v>
      </c>
      <c r="N29" s="38" t="n">
        <v>361.05599924</v>
      </c>
      <c r="O29" s="38" t="n">
        <v>67.12799989</v>
      </c>
      <c r="P29" s="19" t="n">
        <f aca="false">AC30-AC29</f>
        <v>0</v>
      </c>
      <c r="Q29" s="19" t="n">
        <v>0</v>
      </c>
      <c r="R29" s="19" t="n">
        <v>0</v>
      </c>
      <c r="S29" s="19" t="n">
        <f aca="false">AD30-AD29</f>
        <v>2</v>
      </c>
      <c r="T29" s="12" t="s">
        <v>80</v>
      </c>
      <c r="U29" s="11"/>
      <c r="V29" s="24" t="n">
        <f aca="false">V28+1</f>
        <v>27</v>
      </c>
      <c r="W29" s="21" t="n">
        <v>10216</v>
      </c>
      <c r="X29" s="21" t="n">
        <v>12796</v>
      </c>
      <c r="Y29" s="21" t="n">
        <v>9620</v>
      </c>
      <c r="Z29" s="21" t="n">
        <v>10857</v>
      </c>
      <c r="AA29" s="21" t="n">
        <v>1287</v>
      </c>
      <c r="AB29" s="21" t="n">
        <v>4049</v>
      </c>
      <c r="AC29" s="21" t="n">
        <v>410</v>
      </c>
      <c r="AD29" s="21" t="n">
        <v>3638</v>
      </c>
    </row>
    <row r="30" customFormat="false" ht="23.85" hidden="false" customHeight="false" outlineLevel="0" collapsed="false">
      <c r="A30" s="42" t="n">
        <f aca="false">A29+1</f>
        <v>45898</v>
      </c>
      <c r="B30" s="38" t="n">
        <v>1186.07999955</v>
      </c>
      <c r="C30" s="38" t="n">
        <v>169.4699999</v>
      </c>
      <c r="D30" s="19" t="n">
        <f aca="false">W31-W30</f>
        <v>9</v>
      </c>
      <c r="E30" s="19" t="n">
        <v>0</v>
      </c>
      <c r="F30" s="19" t="n">
        <f aca="false">X31-X30</f>
        <v>11</v>
      </c>
      <c r="G30" s="19" t="n">
        <v>0</v>
      </c>
      <c r="H30" s="38" t="n">
        <v>126.451612903226</v>
      </c>
      <c r="I30" s="38" t="n">
        <v>54.1935483870968</v>
      </c>
      <c r="J30" s="38" t="n">
        <v>31.6129032258065</v>
      </c>
      <c r="K30" s="38" t="n">
        <v>13.5483870967742</v>
      </c>
      <c r="L30" s="38" t="n">
        <v>32.5161290322581</v>
      </c>
      <c r="M30" s="38" t="n">
        <v>13.9354838709677</v>
      </c>
      <c r="N30" s="38" t="n">
        <v>300.50399937</v>
      </c>
      <c r="O30" s="38" t="n">
        <v>51.69599991</v>
      </c>
      <c r="P30" s="19" t="n">
        <f aca="false">AC31-AC30</f>
        <v>0</v>
      </c>
      <c r="Q30" s="19" t="n">
        <v>0</v>
      </c>
      <c r="R30" s="19" t="n">
        <v>0</v>
      </c>
      <c r="S30" s="19" t="n">
        <f aca="false">AD31-AD30</f>
        <v>0</v>
      </c>
      <c r="T30" s="12" t="s">
        <v>81</v>
      </c>
      <c r="U30" s="11"/>
      <c r="V30" s="24" t="n">
        <f aca="false">V29+1</f>
        <v>28</v>
      </c>
      <c r="W30" s="21" t="n">
        <v>10311</v>
      </c>
      <c r="X30" s="21" t="n">
        <v>12871</v>
      </c>
      <c r="Y30" s="21" t="n">
        <v>9632</v>
      </c>
      <c r="Z30" s="21" t="n">
        <v>10858</v>
      </c>
      <c r="AA30" s="21" t="n">
        <v>1287</v>
      </c>
      <c r="AB30" s="21" t="n">
        <v>4051</v>
      </c>
      <c r="AC30" s="21" t="n">
        <v>410</v>
      </c>
      <c r="AD30" s="21" t="n">
        <v>3640</v>
      </c>
    </row>
    <row r="31" customFormat="false" ht="15.75" hidden="false" customHeight="false" outlineLevel="0" collapsed="false">
      <c r="A31" s="42" t="n">
        <f aca="false">A30+1</f>
        <v>45899</v>
      </c>
      <c r="B31" s="38" t="n">
        <v>1044.87599952</v>
      </c>
      <c r="C31" s="38" t="n">
        <v>189.37799994</v>
      </c>
      <c r="D31" s="19" t="n">
        <f aca="false">W32-W31</f>
        <v>136</v>
      </c>
      <c r="E31" s="19" t="n">
        <v>0</v>
      </c>
      <c r="F31" s="19" t="n">
        <f aca="false">X32-X31</f>
        <v>128</v>
      </c>
      <c r="G31" s="19" t="n">
        <v>0</v>
      </c>
      <c r="H31" s="38" t="n">
        <v>126.451612903226</v>
      </c>
      <c r="I31" s="38" t="n">
        <v>54.1935483870968</v>
      </c>
      <c r="J31" s="38" t="n">
        <v>31.6129032258065</v>
      </c>
      <c r="K31" s="38" t="n">
        <v>13.5483870967742</v>
      </c>
      <c r="L31" s="38" t="n">
        <v>32.5161290322581</v>
      </c>
      <c r="M31" s="38" t="n">
        <v>13.9354838709677</v>
      </c>
      <c r="N31" s="38" t="n">
        <v>308.30399931</v>
      </c>
      <c r="O31" s="38" t="n">
        <v>57.86399992</v>
      </c>
      <c r="P31" s="19" t="n">
        <f aca="false">AC32-AC31</f>
        <v>2</v>
      </c>
      <c r="Q31" s="19" t="n">
        <v>0</v>
      </c>
      <c r="R31" s="19" t="n">
        <v>0</v>
      </c>
      <c r="S31" s="19" t="n">
        <f aca="false">AD32-AD31</f>
        <v>11</v>
      </c>
      <c r="T31" s="12" t="s">
        <v>82</v>
      </c>
      <c r="U31" s="11"/>
      <c r="V31" s="24" t="n">
        <f aca="false">V30+1</f>
        <v>29</v>
      </c>
      <c r="W31" s="21" t="n">
        <v>10320</v>
      </c>
      <c r="X31" s="21" t="n">
        <v>12882</v>
      </c>
      <c r="Y31" s="21" t="n">
        <v>9636</v>
      </c>
      <c r="Z31" s="21" t="n">
        <v>10859</v>
      </c>
      <c r="AA31" s="21" t="n">
        <v>1287</v>
      </c>
      <c r="AB31" s="21" t="n">
        <v>4051</v>
      </c>
      <c r="AC31" s="21" t="n">
        <v>410</v>
      </c>
      <c r="AD31" s="21" t="n">
        <v>3640</v>
      </c>
    </row>
    <row r="32" customFormat="false" ht="15.75" hidden="false" customHeight="false" outlineLevel="0" collapsed="false">
      <c r="A32" s="42" t="n">
        <f aca="false">A31+1</f>
        <v>45900</v>
      </c>
      <c r="B32" s="38" t="n">
        <v>1051.09199951</v>
      </c>
      <c r="C32" s="38" t="n">
        <v>214.91399988</v>
      </c>
      <c r="D32" s="19" t="n">
        <f aca="false">W33-W32</f>
        <v>35</v>
      </c>
      <c r="E32" s="19" t="n">
        <v>0</v>
      </c>
      <c r="F32" s="19" t="n">
        <f aca="false">X33-X32</f>
        <v>32</v>
      </c>
      <c r="G32" s="19" t="n">
        <v>0</v>
      </c>
      <c r="H32" s="38" t="n">
        <v>126.451612903226</v>
      </c>
      <c r="I32" s="38" t="n">
        <v>54.1935483870968</v>
      </c>
      <c r="J32" s="38" t="n">
        <v>31.6129032258065</v>
      </c>
      <c r="K32" s="38" t="n">
        <v>13.5483870967742</v>
      </c>
      <c r="L32" s="38" t="n">
        <v>32.5161290322581</v>
      </c>
      <c r="M32" s="38" t="n">
        <v>13.9354838709677</v>
      </c>
      <c r="N32" s="38" t="n">
        <v>273.71999939</v>
      </c>
      <c r="O32" s="38" t="n">
        <v>53.25599991</v>
      </c>
      <c r="P32" s="19" t="n">
        <f aca="false">AC33-AC32</f>
        <v>0</v>
      </c>
      <c r="Q32" s="19" t="n">
        <v>0</v>
      </c>
      <c r="R32" s="19" t="n">
        <v>0</v>
      </c>
      <c r="S32" s="19" t="n">
        <f aca="false">AD33-AD32</f>
        <v>14</v>
      </c>
      <c r="T32" s="12"/>
      <c r="U32" s="11"/>
      <c r="V32" s="24" t="n">
        <f aca="false">V31+1</f>
        <v>30</v>
      </c>
      <c r="W32" s="21" t="n">
        <v>10456</v>
      </c>
      <c r="X32" s="21" t="n">
        <v>13010</v>
      </c>
      <c r="Y32" s="21" t="n">
        <v>9639</v>
      </c>
      <c r="Z32" s="21" t="n">
        <v>10859</v>
      </c>
      <c r="AA32" s="21" t="n">
        <v>1288</v>
      </c>
      <c r="AB32" s="21" t="n">
        <v>4063</v>
      </c>
      <c r="AC32" s="21" t="n">
        <v>412</v>
      </c>
      <c r="AD32" s="21" t="n">
        <v>3651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10491</v>
      </c>
      <c r="X33" s="21" t="n">
        <v>13042</v>
      </c>
      <c r="Y33" s="21" t="n">
        <v>9644</v>
      </c>
      <c r="Z33" s="21" t="n">
        <v>10861</v>
      </c>
      <c r="AA33" s="21" t="n">
        <v>1288</v>
      </c>
      <c r="AB33" s="21" t="n">
        <v>4067</v>
      </c>
      <c r="AC33" s="21" t="n">
        <v>412</v>
      </c>
      <c r="AD33" s="21" t="n">
        <v>3665</v>
      </c>
    </row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  <c r="N35" s="40"/>
      <c r="O35" s="7"/>
      <c r="P35" s="7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N36" s="40"/>
      <c r="O36" s="7"/>
      <c r="P36" s="7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N37" s="40"/>
      <c r="O37" s="7"/>
      <c r="P37" s="7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N38" s="40"/>
      <c r="O38" s="7"/>
      <c r="P38" s="7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N39" s="40"/>
      <c r="O39" s="7"/>
      <c r="P39" s="7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N40" s="40"/>
      <c r="O40" s="7"/>
      <c r="P40" s="7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N48" s="47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8">
    <mergeCell ref="AH8:AJ8"/>
    <mergeCell ref="AK8:AM8"/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F13" colorId="64" zoomScale="100" zoomScaleNormal="100" zoomScalePageLayoutView="100" workbookViewId="0">
      <selection pane="topLeft" activeCell="P35" activeCellId="0" sqref="P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5.42"/>
    <col collapsed="false" customWidth="true" hidden="false" outlineLevel="0" max="12" min="12" style="1" width="13.15"/>
    <col collapsed="false" customWidth="true" hidden="false" outlineLevel="0" max="20" min="20" style="1" width="47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45839</v>
      </c>
      <c r="B2" s="38" t="n">
        <v>1265.16599947</v>
      </c>
      <c r="C2" s="38" t="n">
        <v>182.48999996</v>
      </c>
      <c r="D2" s="19" t="n">
        <f aca="false">W3-W2</f>
        <v>0</v>
      </c>
      <c r="E2" s="19" t="n">
        <v>0</v>
      </c>
      <c r="F2" s="19" t="n">
        <f aca="false">X3-X2</f>
        <v>0</v>
      </c>
      <c r="G2" s="19" t="n">
        <v>0</v>
      </c>
      <c r="H2" s="38" t="n">
        <v>109.290322580645</v>
      </c>
      <c r="I2" s="38" t="n">
        <v>46.8387096774194</v>
      </c>
      <c r="J2" s="38" t="n">
        <v>2.12258064516129</v>
      </c>
      <c r="K2" s="38" t="n">
        <v>0.909677419354839</v>
      </c>
      <c r="L2" s="38" t="n">
        <v>27.0967741935484</v>
      </c>
      <c r="M2" s="38" t="n">
        <v>11.6129032258065</v>
      </c>
      <c r="N2" s="38" t="n">
        <v>273.19199934</v>
      </c>
      <c r="O2" s="38" t="n">
        <v>58.63199989</v>
      </c>
      <c r="P2" s="19" t="n">
        <f aca="false">AC3-AC2</f>
        <v>0</v>
      </c>
      <c r="Q2" s="19" t="n">
        <v>0</v>
      </c>
      <c r="R2" s="19" t="n">
        <v>0</v>
      </c>
      <c r="S2" s="19" t="n">
        <f aca="false">AD3-AD2</f>
        <v>0</v>
      </c>
      <c r="T2" s="12" t="s">
        <v>83</v>
      </c>
      <c r="U2" s="11"/>
      <c r="V2" s="14" t="n">
        <v>0</v>
      </c>
      <c r="W2" s="21" t="n">
        <v>7715</v>
      </c>
      <c r="X2" s="21" t="n">
        <v>9620</v>
      </c>
      <c r="Y2" s="21" t="n">
        <v>9372</v>
      </c>
      <c r="Z2" s="21" t="n">
        <v>10821</v>
      </c>
      <c r="AA2" s="21" t="n">
        <v>1276</v>
      </c>
      <c r="AB2" s="21" t="n">
        <v>3811</v>
      </c>
      <c r="AC2" s="21" t="n">
        <v>382</v>
      </c>
      <c r="AD2" s="21" t="n">
        <v>3429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45840</v>
      </c>
      <c r="B3" s="38" t="n">
        <v>1292.80199953</v>
      </c>
      <c r="C3" s="38" t="n">
        <v>194.16599989</v>
      </c>
      <c r="D3" s="19" t="n">
        <f aca="false">W4-W3</f>
        <v>126</v>
      </c>
      <c r="E3" s="19" t="n">
        <v>0</v>
      </c>
      <c r="F3" s="19" t="n">
        <f aca="false">X4-X3</f>
        <v>128</v>
      </c>
      <c r="G3" s="19" t="n">
        <v>0</v>
      </c>
      <c r="H3" s="38" t="n">
        <v>109.290322580645</v>
      </c>
      <c r="I3" s="38" t="n">
        <v>46.8387096774194</v>
      </c>
      <c r="J3" s="38" t="n">
        <v>2.12258064516129</v>
      </c>
      <c r="K3" s="38" t="n">
        <v>0.909677419354839</v>
      </c>
      <c r="L3" s="38" t="n">
        <v>27.0967741935484</v>
      </c>
      <c r="M3" s="38" t="n">
        <v>11.6129032258065</v>
      </c>
      <c r="N3" s="38" t="n">
        <v>244.24799935</v>
      </c>
      <c r="O3" s="38" t="n">
        <v>53.35199993</v>
      </c>
      <c r="P3" s="19" t="n">
        <f aca="false">AC4-AC3</f>
        <v>1</v>
      </c>
      <c r="Q3" s="19" t="n">
        <v>0</v>
      </c>
      <c r="R3" s="19" t="n">
        <v>0</v>
      </c>
      <c r="S3" s="19" t="n">
        <f aca="false">AD4-AD3</f>
        <v>8</v>
      </c>
      <c r="T3" s="12" t="s">
        <v>83</v>
      </c>
      <c r="U3" s="11"/>
      <c r="V3" s="18" t="n">
        <v>1</v>
      </c>
      <c r="W3" s="21" t="n">
        <v>7715</v>
      </c>
      <c r="X3" s="21" t="n">
        <v>9620</v>
      </c>
      <c r="Y3" s="21" t="n">
        <v>9372</v>
      </c>
      <c r="Z3" s="21" t="n">
        <v>10821</v>
      </c>
      <c r="AA3" s="21" t="n">
        <v>1276</v>
      </c>
      <c r="AB3" s="21" t="n">
        <v>3811</v>
      </c>
      <c r="AC3" s="21" t="n">
        <v>382</v>
      </c>
      <c r="AD3" s="21" t="n">
        <v>3429</v>
      </c>
    </row>
    <row r="4" customFormat="false" ht="15.75" hidden="false" customHeight="false" outlineLevel="0" collapsed="false">
      <c r="A4" s="42" t="n">
        <f aca="false">A3+1</f>
        <v>45841</v>
      </c>
      <c r="B4" s="38" t="n">
        <v>1286.66999947</v>
      </c>
      <c r="C4" s="38" t="n">
        <v>188.95799991</v>
      </c>
      <c r="D4" s="19" t="n">
        <f aca="false">W5-W4</f>
        <v>0</v>
      </c>
      <c r="E4" s="19" t="n">
        <v>0</v>
      </c>
      <c r="F4" s="19" t="n">
        <f aca="false">X5-X4</f>
        <v>0</v>
      </c>
      <c r="G4" s="19" t="n">
        <v>0</v>
      </c>
      <c r="H4" s="38" t="n">
        <v>109.290322580645</v>
      </c>
      <c r="I4" s="38" t="n">
        <v>46.8387096774194</v>
      </c>
      <c r="J4" s="38" t="n">
        <v>2.12258064516129</v>
      </c>
      <c r="K4" s="38" t="n">
        <v>0.909677419354839</v>
      </c>
      <c r="L4" s="38" t="n">
        <v>27.0967741935484</v>
      </c>
      <c r="M4" s="38" t="n">
        <v>11.6129032258065</v>
      </c>
      <c r="N4" s="38" t="n">
        <v>238.7039994</v>
      </c>
      <c r="O4" s="38" t="n">
        <v>47.59199992</v>
      </c>
      <c r="P4" s="19" t="n">
        <f aca="false">AC5-AC4</f>
        <v>0</v>
      </c>
      <c r="Q4" s="19" t="n">
        <v>0</v>
      </c>
      <c r="R4" s="19" t="n">
        <v>0</v>
      </c>
      <c r="S4" s="19" t="n">
        <f aca="false">AD5-AD4</f>
        <v>0</v>
      </c>
      <c r="T4" s="12" t="s">
        <v>84</v>
      </c>
      <c r="U4" s="11"/>
      <c r="V4" s="20" t="n">
        <f aca="false">V3+1</f>
        <v>2</v>
      </c>
      <c r="W4" s="12" t="n">
        <v>7841</v>
      </c>
      <c r="X4" s="12" t="n">
        <v>9748</v>
      </c>
      <c r="Y4" s="12" t="n">
        <v>9379</v>
      </c>
      <c r="Z4" s="12" t="n">
        <v>10822</v>
      </c>
      <c r="AA4" s="12" t="n">
        <v>1277</v>
      </c>
      <c r="AB4" s="12" t="n">
        <v>3821</v>
      </c>
      <c r="AC4" s="12" t="n">
        <v>383</v>
      </c>
      <c r="AD4" s="12" t="n">
        <v>3437</v>
      </c>
    </row>
    <row r="5" customFormat="false" ht="23.85" hidden="false" customHeight="false" outlineLevel="0" collapsed="false">
      <c r="A5" s="42" t="n">
        <f aca="false">A4+1</f>
        <v>45842</v>
      </c>
      <c r="B5" s="38" t="n">
        <v>1114.30199958</v>
      </c>
      <c r="C5" s="38" t="n">
        <v>146.36999994</v>
      </c>
      <c r="D5" s="19" t="n">
        <f aca="false">W6-W5</f>
        <v>132</v>
      </c>
      <c r="E5" s="19" t="n">
        <v>0</v>
      </c>
      <c r="F5" s="19" t="n">
        <f aca="false">X6-X5</f>
        <v>0</v>
      </c>
      <c r="G5" s="19" t="n">
        <v>0</v>
      </c>
      <c r="H5" s="38" t="n">
        <v>109.290322580645</v>
      </c>
      <c r="I5" s="38" t="n">
        <v>46.8387096774194</v>
      </c>
      <c r="J5" s="38" t="n">
        <v>2.12258064516129</v>
      </c>
      <c r="K5" s="38" t="n">
        <v>0.909677419354839</v>
      </c>
      <c r="L5" s="38" t="n">
        <v>27.0967741935484</v>
      </c>
      <c r="M5" s="38" t="n">
        <v>11.6129032258065</v>
      </c>
      <c r="N5" s="38" t="n">
        <v>261.69599938</v>
      </c>
      <c r="O5" s="38" t="n">
        <v>46.91999989</v>
      </c>
      <c r="P5" s="19" t="n">
        <f aca="false">AC6-AC5</f>
        <v>1</v>
      </c>
      <c r="Q5" s="19" t="n">
        <v>0</v>
      </c>
      <c r="R5" s="19" t="n">
        <v>0</v>
      </c>
      <c r="S5" s="19" t="n">
        <f aca="false">AD6-AD5</f>
        <v>5</v>
      </c>
      <c r="T5" s="12" t="s">
        <v>85</v>
      </c>
      <c r="U5" s="11"/>
      <c r="V5" s="20" t="n">
        <f aca="false">V4+1</f>
        <v>3</v>
      </c>
      <c r="W5" s="12" t="n">
        <v>7841</v>
      </c>
      <c r="X5" s="12" t="n">
        <v>9748</v>
      </c>
      <c r="Y5" s="12" t="n">
        <v>9379</v>
      </c>
      <c r="Z5" s="12" t="n">
        <v>10822</v>
      </c>
      <c r="AA5" s="12" t="n">
        <v>1277</v>
      </c>
      <c r="AB5" s="12" t="n">
        <v>3821</v>
      </c>
      <c r="AC5" s="12" t="n">
        <v>383</v>
      </c>
      <c r="AD5" s="12" t="n">
        <v>3437</v>
      </c>
    </row>
    <row r="6" customFormat="false" ht="15.75" hidden="false" customHeight="false" outlineLevel="0" collapsed="false">
      <c r="A6" s="42" t="n">
        <f aca="false">A5+1</f>
        <v>45843</v>
      </c>
      <c r="B6" s="38" t="n">
        <v>849.28199943</v>
      </c>
      <c r="C6" s="38" t="n">
        <v>149.5619999</v>
      </c>
      <c r="D6" s="19" t="n">
        <f aca="false">W7-W6</f>
        <v>56</v>
      </c>
      <c r="E6" s="19" t="n">
        <v>0</v>
      </c>
      <c r="F6" s="19" t="n">
        <f aca="false">X7-X6</f>
        <v>154</v>
      </c>
      <c r="G6" s="19" t="n">
        <v>0</v>
      </c>
      <c r="H6" s="38" t="n">
        <v>109.290322580645</v>
      </c>
      <c r="I6" s="38" t="n">
        <v>46.8387096774194</v>
      </c>
      <c r="J6" s="38" t="n">
        <v>2.12258064516129</v>
      </c>
      <c r="K6" s="38" t="n">
        <v>0.909677419354839</v>
      </c>
      <c r="L6" s="38" t="n">
        <v>27.0967741935484</v>
      </c>
      <c r="M6" s="38" t="n">
        <v>11.6129032258065</v>
      </c>
      <c r="N6" s="38" t="n">
        <v>243.26399941</v>
      </c>
      <c r="O6" s="38" t="n">
        <v>57.91199991</v>
      </c>
      <c r="P6" s="19" t="n">
        <f aca="false">AC7-AC6</f>
        <v>1</v>
      </c>
      <c r="Q6" s="19" t="n">
        <v>0</v>
      </c>
      <c r="R6" s="19" t="n">
        <v>0</v>
      </c>
      <c r="S6" s="19" t="n">
        <f aca="false">AD7-AD6</f>
        <v>5</v>
      </c>
      <c r="T6" s="12" t="s">
        <v>86</v>
      </c>
      <c r="U6" s="11"/>
      <c r="V6" s="20" t="n">
        <f aca="false">V5+1</f>
        <v>4</v>
      </c>
      <c r="W6" s="12" t="n">
        <v>7973</v>
      </c>
      <c r="X6" s="12" t="n">
        <v>9748</v>
      </c>
      <c r="Y6" s="12" t="n">
        <v>9387</v>
      </c>
      <c r="Z6" s="12" t="n">
        <v>10823</v>
      </c>
      <c r="AA6" s="12" t="n">
        <v>1277</v>
      </c>
      <c r="AB6" s="12" t="n">
        <v>3826</v>
      </c>
      <c r="AC6" s="12" t="n">
        <v>384</v>
      </c>
      <c r="AD6" s="12" t="n">
        <v>3442</v>
      </c>
    </row>
    <row r="7" customFormat="false" ht="15.75" hidden="false" customHeight="false" outlineLevel="0" collapsed="false">
      <c r="A7" s="42" t="n">
        <f aca="false">A6+1</f>
        <v>45844</v>
      </c>
      <c r="B7" s="38" t="n">
        <v>897.16199946</v>
      </c>
      <c r="C7" s="38" t="n">
        <v>156.2819999</v>
      </c>
      <c r="D7" s="19" t="n">
        <f aca="false">W8-W7</f>
        <v>8</v>
      </c>
      <c r="E7" s="19" t="n">
        <v>0</v>
      </c>
      <c r="F7" s="19" t="n">
        <f aca="false">X8-X7</f>
        <v>26</v>
      </c>
      <c r="G7" s="19" t="n">
        <v>0</v>
      </c>
      <c r="H7" s="38" t="n">
        <v>109.290322580645</v>
      </c>
      <c r="I7" s="38" t="n">
        <v>46.8387096774194</v>
      </c>
      <c r="J7" s="38" t="n">
        <v>2.12258064516129</v>
      </c>
      <c r="K7" s="38" t="n">
        <v>0.909677419354839</v>
      </c>
      <c r="L7" s="38" t="n">
        <v>27.0967741935484</v>
      </c>
      <c r="M7" s="38" t="n">
        <v>11.6129032258065</v>
      </c>
      <c r="N7" s="38" t="n">
        <v>255.88799939</v>
      </c>
      <c r="O7" s="38" t="n">
        <v>61.94399991</v>
      </c>
      <c r="P7" s="19" t="n">
        <f aca="false">AC8-AC7</f>
        <v>0</v>
      </c>
      <c r="Q7" s="19" t="n">
        <v>0</v>
      </c>
      <c r="R7" s="19" t="n">
        <v>0</v>
      </c>
      <c r="S7" s="19" t="n">
        <f aca="false">AD8-AD7</f>
        <v>4</v>
      </c>
      <c r="T7" s="12" t="s">
        <v>46</v>
      </c>
      <c r="U7" s="11"/>
      <c r="V7" s="20" t="n">
        <f aca="false">V6+1</f>
        <v>5</v>
      </c>
      <c r="W7" s="12" t="n">
        <v>8029</v>
      </c>
      <c r="X7" s="12" t="n">
        <v>9902</v>
      </c>
      <c r="Y7" s="12" t="n">
        <v>9396</v>
      </c>
      <c r="Z7" s="12" t="n">
        <v>10825</v>
      </c>
      <c r="AA7" s="12" t="n">
        <v>1277</v>
      </c>
      <c r="AB7" s="12" t="n">
        <v>3832</v>
      </c>
      <c r="AC7" s="12" t="n">
        <v>385</v>
      </c>
      <c r="AD7" s="12" t="n">
        <v>3447</v>
      </c>
    </row>
    <row r="8" customFormat="false" ht="15.75" hidden="false" customHeight="false" outlineLevel="0" collapsed="false">
      <c r="A8" s="42" t="n">
        <f aca="false">A7+1</f>
        <v>45845</v>
      </c>
      <c r="B8" s="38" t="n">
        <v>1313.38199959</v>
      </c>
      <c r="C8" s="38" t="n">
        <v>192.14999991</v>
      </c>
      <c r="D8" s="19" t="n">
        <f aca="false">W9-W8</f>
        <v>0</v>
      </c>
      <c r="E8" s="19" t="n">
        <v>0</v>
      </c>
      <c r="F8" s="19" t="n">
        <f aca="false">X9-X8</f>
        <v>44</v>
      </c>
      <c r="G8" s="19" t="n">
        <v>0</v>
      </c>
      <c r="H8" s="38" t="n">
        <v>109.290322580645</v>
      </c>
      <c r="I8" s="38" t="n">
        <v>46.8387096774194</v>
      </c>
      <c r="J8" s="38" t="n">
        <v>2.12258064516129</v>
      </c>
      <c r="K8" s="38" t="n">
        <v>0.909677419354839</v>
      </c>
      <c r="L8" s="38" t="n">
        <v>27.0967741935484</v>
      </c>
      <c r="M8" s="38" t="n">
        <v>11.6129032258065</v>
      </c>
      <c r="N8" s="38" t="n">
        <v>237.6479994</v>
      </c>
      <c r="O8" s="38" t="n">
        <v>63.47999989</v>
      </c>
      <c r="P8" s="19" t="n">
        <f aca="false">AC9-AC8</f>
        <v>0</v>
      </c>
      <c r="Q8" s="19" t="n">
        <v>0</v>
      </c>
      <c r="R8" s="19" t="n">
        <v>0</v>
      </c>
      <c r="S8" s="19" t="n">
        <f aca="false">AD9-AD8</f>
        <v>0</v>
      </c>
      <c r="T8" s="12" t="s">
        <v>46</v>
      </c>
      <c r="U8" s="11"/>
      <c r="V8" s="20" t="n">
        <f aca="false">V7+1</f>
        <v>6</v>
      </c>
      <c r="W8" s="12" t="n">
        <v>8037</v>
      </c>
      <c r="X8" s="12" t="n">
        <v>9928</v>
      </c>
      <c r="Y8" s="12" t="n">
        <v>9398</v>
      </c>
      <c r="Z8" s="12" t="n">
        <v>10825</v>
      </c>
      <c r="AA8" s="12" t="n">
        <v>1277</v>
      </c>
      <c r="AB8" s="12" t="n">
        <v>3836</v>
      </c>
      <c r="AC8" s="12" t="n">
        <v>385</v>
      </c>
      <c r="AD8" s="12" t="n">
        <v>3451</v>
      </c>
    </row>
    <row r="9" customFormat="false" ht="15.75" hidden="false" customHeight="false" outlineLevel="0" collapsed="false">
      <c r="A9" s="42" t="n">
        <f aca="false">A8+1</f>
        <v>45846</v>
      </c>
      <c r="B9" s="38" t="n">
        <v>1279.69799956</v>
      </c>
      <c r="C9" s="38" t="n">
        <v>183.20399994</v>
      </c>
      <c r="D9" s="19" t="n">
        <f aca="false">W10-W9</f>
        <v>69</v>
      </c>
      <c r="E9" s="19" t="n">
        <v>0</v>
      </c>
      <c r="F9" s="19" t="n">
        <f aca="false">X10-X9</f>
        <v>31</v>
      </c>
      <c r="G9" s="19" t="n">
        <v>0</v>
      </c>
      <c r="H9" s="38" t="n">
        <v>109.290322580645</v>
      </c>
      <c r="I9" s="38" t="n">
        <v>46.8387096774194</v>
      </c>
      <c r="J9" s="38" t="n">
        <v>2.12258064516129</v>
      </c>
      <c r="K9" s="38" t="n">
        <v>0.909677419354839</v>
      </c>
      <c r="L9" s="38" t="n">
        <v>27.0967741935484</v>
      </c>
      <c r="M9" s="38" t="n">
        <v>11.6129032258065</v>
      </c>
      <c r="N9" s="38" t="n">
        <v>233.61599934</v>
      </c>
      <c r="O9" s="38" t="n">
        <v>49.70399992</v>
      </c>
      <c r="P9" s="19" t="n">
        <f aca="false">AC10-AC9</f>
        <v>1</v>
      </c>
      <c r="Q9" s="19" t="n">
        <v>0</v>
      </c>
      <c r="R9" s="19" t="n">
        <v>0</v>
      </c>
      <c r="S9" s="19" t="n">
        <f aca="false">AD10-AD9</f>
        <v>7</v>
      </c>
      <c r="T9" s="12" t="s">
        <v>87</v>
      </c>
      <c r="U9" s="11"/>
      <c r="V9" s="20" t="n">
        <f aca="false">V8+1</f>
        <v>7</v>
      </c>
      <c r="W9" s="12" t="n">
        <v>8037</v>
      </c>
      <c r="X9" s="12" t="n">
        <v>9972</v>
      </c>
      <c r="Y9" s="12" t="n">
        <v>9409</v>
      </c>
      <c r="Z9" s="12" t="n">
        <v>10825</v>
      </c>
      <c r="AA9" s="12" t="n">
        <v>1277</v>
      </c>
      <c r="AB9" s="12" t="n">
        <v>3836</v>
      </c>
      <c r="AC9" s="12" t="n">
        <v>385</v>
      </c>
      <c r="AD9" s="12" t="n">
        <v>3451</v>
      </c>
    </row>
    <row r="10" customFormat="false" ht="15.75" hidden="false" customHeight="false" outlineLevel="0" collapsed="false">
      <c r="A10" s="42" t="n">
        <f aca="false">A9+1</f>
        <v>45847</v>
      </c>
      <c r="B10" s="38" t="n">
        <v>1214.97599952</v>
      </c>
      <c r="C10" s="38" t="n">
        <v>190.30199988</v>
      </c>
      <c r="D10" s="19" t="n">
        <f aca="false">W11-W10</f>
        <v>65</v>
      </c>
      <c r="E10" s="19" t="n">
        <v>0</v>
      </c>
      <c r="F10" s="19" t="n">
        <f aca="false">X11-X10</f>
        <v>43</v>
      </c>
      <c r="G10" s="19" t="n">
        <v>0</v>
      </c>
      <c r="H10" s="38" t="n">
        <v>109.290322580645</v>
      </c>
      <c r="I10" s="38" t="n">
        <v>46.8387096774194</v>
      </c>
      <c r="J10" s="38" t="n">
        <v>2.12258064516129</v>
      </c>
      <c r="K10" s="38" t="n">
        <v>0.909677419354839</v>
      </c>
      <c r="L10" s="38" t="n">
        <v>27.0967741935484</v>
      </c>
      <c r="M10" s="38" t="n">
        <v>11.6129032258065</v>
      </c>
      <c r="N10" s="38" t="n">
        <v>221.99999944</v>
      </c>
      <c r="O10" s="38" t="n">
        <v>63.28799989</v>
      </c>
      <c r="P10" s="19" t="n">
        <f aca="false">AC11-AC10</f>
        <v>0</v>
      </c>
      <c r="Q10" s="19" t="n">
        <v>0</v>
      </c>
      <c r="R10" s="19" t="n">
        <v>0</v>
      </c>
      <c r="S10" s="19" t="n">
        <f aca="false">AD11-AD10</f>
        <v>3</v>
      </c>
      <c r="T10" s="12" t="s">
        <v>88</v>
      </c>
      <c r="U10" s="11"/>
      <c r="V10" s="20" t="n">
        <f aca="false">V9+1</f>
        <v>8</v>
      </c>
      <c r="W10" s="12" t="n">
        <v>8106</v>
      </c>
      <c r="X10" s="12" t="n">
        <v>10003</v>
      </c>
      <c r="Y10" s="12" t="n">
        <v>9414</v>
      </c>
      <c r="Z10" s="12" t="n">
        <v>10826</v>
      </c>
      <c r="AA10" s="12" t="n">
        <v>1277</v>
      </c>
      <c r="AB10" s="12" t="n">
        <v>3844</v>
      </c>
      <c r="AC10" s="12" t="n">
        <v>386</v>
      </c>
      <c r="AD10" s="12" t="n">
        <v>3458</v>
      </c>
    </row>
    <row r="11" customFormat="false" ht="15.75" hidden="false" customHeight="false" outlineLevel="0" collapsed="false">
      <c r="A11" s="42" t="n">
        <f aca="false">A10+1</f>
        <v>45848</v>
      </c>
      <c r="B11" s="38" t="n">
        <v>1220.2679995</v>
      </c>
      <c r="C11" s="38" t="n">
        <v>177.15599992</v>
      </c>
      <c r="D11" s="19" t="n">
        <f aca="false">W12-W11</f>
        <v>45</v>
      </c>
      <c r="E11" s="19" t="n">
        <v>0</v>
      </c>
      <c r="F11" s="19" t="n">
        <f aca="false">X12-X11</f>
        <v>34</v>
      </c>
      <c r="G11" s="19" t="n">
        <v>0</v>
      </c>
      <c r="H11" s="38" t="n">
        <v>109.290322580645</v>
      </c>
      <c r="I11" s="38" t="n">
        <v>46.8387096774194</v>
      </c>
      <c r="J11" s="38" t="n">
        <v>2.12258064516129</v>
      </c>
      <c r="K11" s="38" t="n">
        <v>0.909677419354839</v>
      </c>
      <c r="L11" s="38" t="n">
        <v>27.0967741935484</v>
      </c>
      <c r="M11" s="38" t="n">
        <v>11.6129032258065</v>
      </c>
      <c r="N11" s="38" t="n">
        <v>239.39999936</v>
      </c>
      <c r="O11" s="38" t="n">
        <v>48.2399999</v>
      </c>
      <c r="P11" s="19" t="n">
        <f aca="false">AC12-AC11</f>
        <v>1</v>
      </c>
      <c r="Q11" s="19" t="n">
        <v>0</v>
      </c>
      <c r="R11" s="19" t="n">
        <v>0</v>
      </c>
      <c r="S11" s="19" t="n">
        <f aca="false">AD12-AD11</f>
        <v>3</v>
      </c>
      <c r="T11" s="12" t="s">
        <v>89</v>
      </c>
      <c r="U11" s="11"/>
      <c r="V11" s="20" t="n">
        <f aca="false">V10+1</f>
        <v>9</v>
      </c>
      <c r="W11" s="12" t="n">
        <v>8171</v>
      </c>
      <c r="X11" s="12" t="n">
        <v>10046</v>
      </c>
      <c r="Y11" s="12" t="n">
        <v>9414</v>
      </c>
      <c r="Z11" s="12" t="n">
        <v>10826</v>
      </c>
      <c r="AA11" s="12" t="n">
        <v>1277</v>
      </c>
      <c r="AB11" s="12" t="n">
        <v>3847</v>
      </c>
      <c r="AC11" s="12" t="n">
        <v>386</v>
      </c>
      <c r="AD11" s="12" t="n">
        <v>3461</v>
      </c>
    </row>
    <row r="12" customFormat="false" ht="15.75" hidden="false" customHeight="false" outlineLevel="0" collapsed="false">
      <c r="A12" s="42" t="n">
        <f aca="false">A11+1</f>
        <v>45849</v>
      </c>
      <c r="B12" s="38" t="n">
        <v>1060.20599956</v>
      </c>
      <c r="C12" s="38" t="n">
        <v>145.10999994</v>
      </c>
      <c r="D12" s="19" t="n">
        <f aca="false">W13-W12</f>
        <v>0</v>
      </c>
      <c r="E12" s="19" t="n">
        <v>0</v>
      </c>
      <c r="F12" s="19" t="n">
        <f aca="false">X13-X12</f>
        <v>0</v>
      </c>
      <c r="G12" s="19" t="n">
        <v>0</v>
      </c>
      <c r="H12" s="38" t="n">
        <v>109.290322580645</v>
      </c>
      <c r="I12" s="38" t="n">
        <v>46.8387096774194</v>
      </c>
      <c r="J12" s="38" t="n">
        <v>2.12258064516129</v>
      </c>
      <c r="K12" s="38" t="n">
        <v>0.909677419354839</v>
      </c>
      <c r="L12" s="38" t="n">
        <v>27.0967741935484</v>
      </c>
      <c r="M12" s="38" t="n">
        <v>11.6129032258065</v>
      </c>
      <c r="N12" s="38" t="n">
        <v>272.44799941</v>
      </c>
      <c r="O12" s="38" t="n">
        <v>54.50399989</v>
      </c>
      <c r="P12" s="19" t="n">
        <f aca="false">AC13-AC12</f>
        <v>0</v>
      </c>
      <c r="Q12" s="19" t="n">
        <v>0</v>
      </c>
      <c r="R12" s="19" t="n">
        <v>0</v>
      </c>
      <c r="S12" s="19" t="n">
        <f aca="false">AD13-AD12</f>
        <v>1</v>
      </c>
      <c r="T12" s="12" t="s">
        <v>90</v>
      </c>
      <c r="U12" s="11"/>
      <c r="V12" s="20" t="n">
        <f aca="false">V11+1</f>
        <v>10</v>
      </c>
      <c r="W12" s="12" t="n">
        <v>8216</v>
      </c>
      <c r="X12" s="12" t="n">
        <v>10080</v>
      </c>
      <c r="Y12" s="12" t="n">
        <v>9421</v>
      </c>
      <c r="Z12" s="12" t="n">
        <v>10827</v>
      </c>
      <c r="AA12" s="12" t="n">
        <v>1278</v>
      </c>
      <c r="AB12" s="12" t="n">
        <v>3851</v>
      </c>
      <c r="AC12" s="12" t="n">
        <v>387</v>
      </c>
      <c r="AD12" s="12" t="n">
        <v>3464</v>
      </c>
    </row>
    <row r="13" customFormat="false" ht="15.75" hidden="false" customHeight="false" outlineLevel="0" collapsed="false">
      <c r="A13" s="42" t="n">
        <f aca="false">A12+1</f>
        <v>45850</v>
      </c>
      <c r="B13" s="38" t="n">
        <v>876.28799956</v>
      </c>
      <c r="C13" s="38" t="n">
        <v>138.13799995</v>
      </c>
      <c r="D13" s="19" t="n">
        <f aca="false">W14-W13</f>
        <v>0</v>
      </c>
      <c r="E13" s="19" t="n">
        <v>0</v>
      </c>
      <c r="F13" s="19" t="n">
        <f aca="false">X14-X13</f>
        <v>0</v>
      </c>
      <c r="G13" s="19" t="n">
        <v>0</v>
      </c>
      <c r="H13" s="38" t="n">
        <v>109.290322580645</v>
      </c>
      <c r="I13" s="38" t="n">
        <v>46.8387096774194</v>
      </c>
      <c r="J13" s="38" t="n">
        <v>2.12258064516129</v>
      </c>
      <c r="K13" s="38" t="n">
        <v>0.909677419354839</v>
      </c>
      <c r="L13" s="38" t="n">
        <v>27.0967741935484</v>
      </c>
      <c r="M13" s="38" t="n">
        <v>11.6129032258065</v>
      </c>
      <c r="N13" s="38" t="n">
        <v>273.93599929</v>
      </c>
      <c r="O13" s="38" t="n">
        <v>50.2559999</v>
      </c>
      <c r="P13" s="19" t="n">
        <f aca="false">AC14-AC13</f>
        <v>0</v>
      </c>
      <c r="Q13" s="19" t="n">
        <v>0</v>
      </c>
      <c r="R13" s="19" t="n">
        <v>0</v>
      </c>
      <c r="S13" s="19" t="n">
        <f aca="false">AD14-AD13</f>
        <v>0</v>
      </c>
      <c r="T13" s="12" t="s">
        <v>46</v>
      </c>
      <c r="U13" s="11"/>
      <c r="V13" s="20" t="n">
        <f aca="false">V12+1</f>
        <v>11</v>
      </c>
      <c r="W13" s="21" t="n">
        <v>8216</v>
      </c>
      <c r="X13" s="21" t="n">
        <v>10080</v>
      </c>
      <c r="Y13" s="21" t="n">
        <v>9424</v>
      </c>
      <c r="Z13" s="21" t="n">
        <v>10827</v>
      </c>
      <c r="AA13" s="21" t="n">
        <v>1278</v>
      </c>
      <c r="AB13" s="21" t="n">
        <v>3852</v>
      </c>
      <c r="AC13" s="12" t="n">
        <v>387</v>
      </c>
      <c r="AD13" s="21" t="n">
        <v>3465</v>
      </c>
    </row>
    <row r="14" customFormat="false" ht="15.75" hidden="false" customHeight="false" outlineLevel="0" collapsed="false">
      <c r="A14" s="42" t="n">
        <f aca="false">A13+1</f>
        <v>45851</v>
      </c>
      <c r="B14" s="38" t="n">
        <v>1047.01799951</v>
      </c>
      <c r="C14" s="38" t="n">
        <v>164.00999992</v>
      </c>
      <c r="D14" s="19" t="n">
        <f aca="false">W15-W14</f>
        <v>109</v>
      </c>
      <c r="E14" s="19" t="n">
        <v>0</v>
      </c>
      <c r="F14" s="19" t="n">
        <f aca="false">X15-X14</f>
        <v>144</v>
      </c>
      <c r="G14" s="19" t="n">
        <v>0</v>
      </c>
      <c r="H14" s="38" t="n">
        <v>109.290322580645</v>
      </c>
      <c r="I14" s="38" t="n">
        <v>46.8387096774194</v>
      </c>
      <c r="J14" s="38" t="n">
        <v>2.12258064516129</v>
      </c>
      <c r="K14" s="38" t="n">
        <v>0.909677419354839</v>
      </c>
      <c r="L14" s="38" t="n">
        <v>27.0967741935484</v>
      </c>
      <c r="M14" s="38" t="n">
        <v>11.6129032258065</v>
      </c>
      <c r="N14" s="38" t="n">
        <v>266.95199933</v>
      </c>
      <c r="O14" s="38" t="n">
        <v>59.44799991</v>
      </c>
      <c r="P14" s="19" t="n">
        <f aca="false">AC15-AC14</f>
        <v>1</v>
      </c>
      <c r="Q14" s="19" t="n">
        <v>0</v>
      </c>
      <c r="R14" s="19" t="n">
        <v>0</v>
      </c>
      <c r="S14" s="19" t="n">
        <f aca="false">AD15-AD14</f>
        <v>6</v>
      </c>
      <c r="T14" s="12" t="s">
        <v>46</v>
      </c>
      <c r="U14" s="11"/>
      <c r="V14" s="20" t="n">
        <f aca="false">V13+1</f>
        <v>12</v>
      </c>
      <c r="W14" s="21" t="n">
        <v>8216</v>
      </c>
      <c r="X14" s="21" t="n">
        <v>10080</v>
      </c>
      <c r="Y14" s="21" t="n">
        <v>9424</v>
      </c>
      <c r="Z14" s="21" t="n">
        <v>10827</v>
      </c>
      <c r="AA14" s="21" t="n">
        <v>1278</v>
      </c>
      <c r="AB14" s="21" t="n">
        <v>3852</v>
      </c>
      <c r="AC14" s="12" t="n">
        <v>387</v>
      </c>
      <c r="AD14" s="21" t="n">
        <v>3465</v>
      </c>
    </row>
    <row r="15" customFormat="false" ht="15.75" hidden="false" customHeight="false" outlineLevel="0" collapsed="false">
      <c r="A15" s="42" t="n">
        <f aca="false">A14+1</f>
        <v>45852</v>
      </c>
      <c r="B15" s="38" t="n">
        <v>1153.57199945</v>
      </c>
      <c r="C15" s="38" t="n">
        <v>183.37199993</v>
      </c>
      <c r="D15" s="19" t="n">
        <f aca="false">W16-W15</f>
        <v>0</v>
      </c>
      <c r="E15" s="19" t="n">
        <v>0</v>
      </c>
      <c r="F15" s="19" t="n">
        <f aca="false">X16-X15</f>
        <v>0</v>
      </c>
      <c r="G15" s="19" t="n">
        <v>0</v>
      </c>
      <c r="H15" s="38" t="n">
        <v>109.290322580645</v>
      </c>
      <c r="I15" s="38" t="n">
        <v>46.8387096774194</v>
      </c>
      <c r="J15" s="38" t="n">
        <v>2.12258064516129</v>
      </c>
      <c r="K15" s="38" t="n">
        <v>0.909677419354839</v>
      </c>
      <c r="L15" s="38" t="n">
        <v>27.0967741935484</v>
      </c>
      <c r="M15" s="38" t="n">
        <v>11.6129032258065</v>
      </c>
      <c r="N15" s="38" t="n">
        <v>237.09599937</v>
      </c>
      <c r="O15" s="38" t="n">
        <v>57.76799993</v>
      </c>
      <c r="P15" s="19" t="n">
        <f aca="false">AC16-AC15</f>
        <v>0</v>
      </c>
      <c r="Q15" s="19" t="n">
        <v>0</v>
      </c>
      <c r="R15" s="19" t="n">
        <v>0</v>
      </c>
      <c r="S15" s="19" t="n">
        <f aca="false">AD16-AD15</f>
        <v>0</v>
      </c>
      <c r="T15" s="12" t="s">
        <v>46</v>
      </c>
      <c r="U15" s="11"/>
      <c r="V15" s="20" t="n">
        <f aca="false">V14+1</f>
        <v>13</v>
      </c>
      <c r="W15" s="12" t="n">
        <v>8325</v>
      </c>
      <c r="X15" s="12" t="n">
        <v>10224</v>
      </c>
      <c r="Y15" s="12" t="n">
        <v>9435</v>
      </c>
      <c r="Z15" s="12" t="n">
        <v>10829</v>
      </c>
      <c r="AA15" s="12" t="n">
        <v>1278</v>
      </c>
      <c r="AB15" s="12" t="n">
        <v>3860</v>
      </c>
      <c r="AC15" s="12" t="n">
        <v>388</v>
      </c>
      <c r="AD15" s="12" t="n">
        <v>3471</v>
      </c>
    </row>
    <row r="16" customFormat="false" ht="15.75" hidden="false" customHeight="false" outlineLevel="0" collapsed="false">
      <c r="A16" s="42" t="n">
        <f aca="false">A15+1</f>
        <v>45853</v>
      </c>
      <c r="B16" s="38" t="n">
        <v>1309.01399954</v>
      </c>
      <c r="C16" s="38" t="n">
        <v>175.81199992</v>
      </c>
      <c r="D16" s="19" t="n">
        <f aca="false">W17-W16</f>
        <v>60</v>
      </c>
      <c r="E16" s="19" t="n">
        <v>0</v>
      </c>
      <c r="F16" s="19" t="n">
        <f aca="false">X17-X16</f>
        <v>121</v>
      </c>
      <c r="G16" s="19" t="n">
        <v>0</v>
      </c>
      <c r="H16" s="38" t="n">
        <v>109.290322580645</v>
      </c>
      <c r="I16" s="38" t="n">
        <v>46.8387096774194</v>
      </c>
      <c r="J16" s="38" t="n">
        <v>2.12258064516129</v>
      </c>
      <c r="K16" s="38" t="n">
        <v>0.909677419354839</v>
      </c>
      <c r="L16" s="38" t="n">
        <v>27.0967741935484</v>
      </c>
      <c r="M16" s="38" t="n">
        <v>11.6129032258065</v>
      </c>
      <c r="N16" s="38" t="n">
        <v>251.08799936</v>
      </c>
      <c r="O16" s="38" t="n">
        <v>57.59999987</v>
      </c>
      <c r="P16" s="19" t="n">
        <f aca="false">AC17-AC16</f>
        <v>1</v>
      </c>
      <c r="Q16" s="19" t="n">
        <v>0</v>
      </c>
      <c r="R16" s="19" t="n">
        <v>0</v>
      </c>
      <c r="S16" s="19" t="n">
        <f aca="false">AD17-AD16</f>
        <v>10</v>
      </c>
      <c r="T16" s="12" t="s">
        <v>91</v>
      </c>
      <c r="U16" s="11"/>
      <c r="V16" s="20" t="n">
        <f aca="false">V15+1</f>
        <v>14</v>
      </c>
      <c r="W16" s="12" t="n">
        <v>8325</v>
      </c>
      <c r="X16" s="12" t="n">
        <v>10224</v>
      </c>
      <c r="Y16" s="12" t="n">
        <v>9435</v>
      </c>
      <c r="Z16" s="12" t="n">
        <v>10829</v>
      </c>
      <c r="AA16" s="12" t="n">
        <v>1278</v>
      </c>
      <c r="AB16" s="12" t="n">
        <v>3860</v>
      </c>
      <c r="AC16" s="12" t="n">
        <v>388</v>
      </c>
      <c r="AD16" s="12" t="n">
        <v>3471</v>
      </c>
    </row>
    <row r="17" customFormat="false" ht="15.75" hidden="false" customHeight="false" outlineLevel="0" collapsed="false">
      <c r="A17" s="42" t="n">
        <f aca="false">A16+1</f>
        <v>45854</v>
      </c>
      <c r="B17" s="38" t="n">
        <v>1347.19199954</v>
      </c>
      <c r="C17" s="38" t="n">
        <v>201.51599995</v>
      </c>
      <c r="D17" s="19" t="n">
        <f aca="false">W18-W17</f>
        <v>0</v>
      </c>
      <c r="E17" s="19" t="n">
        <v>0</v>
      </c>
      <c r="F17" s="19" t="n">
        <f aca="false">X18-X17</f>
        <v>0</v>
      </c>
      <c r="G17" s="19" t="n">
        <v>0</v>
      </c>
      <c r="H17" s="38" t="n">
        <v>109.290322580645</v>
      </c>
      <c r="I17" s="38" t="n">
        <v>46.8387096774194</v>
      </c>
      <c r="J17" s="38" t="n">
        <v>2.12258064516129</v>
      </c>
      <c r="K17" s="38" t="n">
        <v>0.909677419354839</v>
      </c>
      <c r="L17" s="38" t="n">
        <v>27.0967741935484</v>
      </c>
      <c r="M17" s="38" t="n">
        <v>11.6129032258065</v>
      </c>
      <c r="N17" s="38" t="n">
        <v>249.2399994</v>
      </c>
      <c r="O17" s="38" t="n">
        <v>48.91199991</v>
      </c>
      <c r="P17" s="19" t="n">
        <f aca="false">AC18-AC17</f>
        <v>0</v>
      </c>
      <c r="Q17" s="19" t="n">
        <v>0</v>
      </c>
      <c r="R17" s="19" t="n">
        <v>0</v>
      </c>
      <c r="S17" s="19" t="n">
        <f aca="false">AD18-AD17</f>
        <v>0</v>
      </c>
      <c r="T17" s="12" t="s">
        <v>92</v>
      </c>
      <c r="U17" s="11"/>
      <c r="V17" s="20" t="n">
        <f aca="false">V16+1</f>
        <v>15</v>
      </c>
      <c r="W17" s="22" t="n">
        <v>8385</v>
      </c>
      <c r="X17" s="22" t="n">
        <v>10345</v>
      </c>
      <c r="Y17" s="22" t="n">
        <v>9442</v>
      </c>
      <c r="Z17" s="22" t="n">
        <v>10829</v>
      </c>
      <c r="AA17" s="22" t="n">
        <v>1279</v>
      </c>
      <c r="AB17" s="22" t="n">
        <v>3871</v>
      </c>
      <c r="AC17" s="22" t="n">
        <v>389</v>
      </c>
      <c r="AD17" s="22" t="n">
        <v>3481</v>
      </c>
    </row>
    <row r="18" customFormat="false" ht="15.75" hidden="false" customHeight="false" outlineLevel="0" collapsed="false">
      <c r="A18" s="42" t="n">
        <f aca="false">A17+1</f>
        <v>45855</v>
      </c>
      <c r="B18" s="38" t="n">
        <v>1301.62199952</v>
      </c>
      <c r="C18" s="38" t="n">
        <v>221.17199995</v>
      </c>
      <c r="D18" s="19" t="n">
        <f aca="false">W19-W18</f>
        <v>106</v>
      </c>
      <c r="E18" s="19" t="n">
        <v>0</v>
      </c>
      <c r="F18" s="19" t="n">
        <f aca="false">X19-X18</f>
        <v>69</v>
      </c>
      <c r="G18" s="19" t="n">
        <v>0</v>
      </c>
      <c r="H18" s="38" t="n">
        <v>109.290322580645</v>
      </c>
      <c r="I18" s="38" t="n">
        <v>46.8387096774194</v>
      </c>
      <c r="J18" s="38" t="n">
        <v>2.12258064516129</v>
      </c>
      <c r="K18" s="38" t="n">
        <v>0.909677419354839</v>
      </c>
      <c r="L18" s="38" t="n">
        <v>27.0967741935484</v>
      </c>
      <c r="M18" s="38" t="n">
        <v>11.6129032258065</v>
      </c>
      <c r="N18" s="38" t="n">
        <v>241.43999937</v>
      </c>
      <c r="O18" s="38" t="n">
        <v>49.60799988</v>
      </c>
      <c r="P18" s="19" t="n">
        <f aca="false">AC19-AC18</f>
        <v>1</v>
      </c>
      <c r="Q18" s="19" t="n">
        <v>0</v>
      </c>
      <c r="R18" s="19" t="n">
        <v>0</v>
      </c>
      <c r="S18" s="19" t="n">
        <f aca="false">AD19-AD18</f>
        <v>5</v>
      </c>
      <c r="T18" s="12" t="s">
        <v>93</v>
      </c>
      <c r="U18" s="11"/>
      <c r="V18" s="20" t="n">
        <f aca="false">V17+1</f>
        <v>16</v>
      </c>
      <c r="W18" s="22" t="n">
        <v>8385</v>
      </c>
      <c r="X18" s="22" t="n">
        <v>10345</v>
      </c>
      <c r="Y18" s="22" t="n">
        <v>9442</v>
      </c>
      <c r="Z18" s="22" t="n">
        <v>10829</v>
      </c>
      <c r="AA18" s="22" t="n">
        <v>1279</v>
      </c>
      <c r="AB18" s="22" t="n">
        <v>3871</v>
      </c>
      <c r="AC18" s="22" t="n">
        <v>389</v>
      </c>
      <c r="AD18" s="22" t="n">
        <v>3481</v>
      </c>
    </row>
    <row r="19" customFormat="false" ht="15.75" hidden="false" customHeight="false" outlineLevel="0" collapsed="false">
      <c r="A19" s="42" t="n">
        <f aca="false">A18+1</f>
        <v>45856</v>
      </c>
      <c r="B19" s="38" t="n">
        <v>1110.60599952</v>
      </c>
      <c r="C19" s="38" t="n">
        <v>155.48399989</v>
      </c>
      <c r="D19" s="19" t="n">
        <f aca="false">W20-W19</f>
        <v>63</v>
      </c>
      <c r="E19" s="19" t="n">
        <v>0</v>
      </c>
      <c r="F19" s="19" t="n">
        <f aca="false">X20-X19</f>
        <v>51</v>
      </c>
      <c r="G19" s="19" t="n">
        <v>0</v>
      </c>
      <c r="H19" s="38" t="n">
        <v>109.290322580645</v>
      </c>
      <c r="I19" s="38" t="n">
        <v>46.8387096774194</v>
      </c>
      <c r="J19" s="38" t="n">
        <v>2.12258064516129</v>
      </c>
      <c r="K19" s="38" t="n">
        <v>0.909677419354839</v>
      </c>
      <c r="L19" s="38" t="n">
        <v>27.0967741935484</v>
      </c>
      <c r="M19" s="38" t="n">
        <v>11.6129032258065</v>
      </c>
      <c r="N19" s="38" t="n">
        <v>232.10399943</v>
      </c>
      <c r="O19" s="38" t="n">
        <v>43.3439999</v>
      </c>
      <c r="P19" s="19" t="n">
        <f aca="false">AC20-AC19</f>
        <v>15</v>
      </c>
      <c r="Q19" s="19" t="n">
        <v>0</v>
      </c>
      <c r="R19" s="19" t="n">
        <v>0</v>
      </c>
      <c r="S19" s="19" t="n">
        <f aca="false">AD20-AD19</f>
        <v>11</v>
      </c>
      <c r="T19" s="12" t="s">
        <v>94</v>
      </c>
      <c r="U19" s="23"/>
      <c r="V19" s="24" t="n">
        <f aca="false">V18+1</f>
        <v>17</v>
      </c>
      <c r="W19" s="25" t="n">
        <v>8491</v>
      </c>
      <c r="X19" s="25" t="n">
        <v>10414</v>
      </c>
      <c r="Y19" s="25" t="n">
        <v>9451</v>
      </c>
      <c r="Z19" s="25" t="n">
        <v>10830</v>
      </c>
      <c r="AA19" s="25" t="n">
        <v>1279</v>
      </c>
      <c r="AB19" s="25" t="n">
        <v>3877</v>
      </c>
      <c r="AC19" s="25" t="n">
        <v>390</v>
      </c>
      <c r="AD19" s="25" t="n">
        <v>3486</v>
      </c>
    </row>
    <row r="20" customFormat="false" ht="15.75" hidden="false" customHeight="false" outlineLevel="0" collapsed="false">
      <c r="A20" s="42" t="n">
        <f aca="false">A19+1</f>
        <v>45857</v>
      </c>
      <c r="B20" s="38" t="n">
        <v>1008.41999958</v>
      </c>
      <c r="C20" s="38" t="n">
        <v>204.45599989</v>
      </c>
      <c r="D20" s="19" t="n">
        <f aca="false">W21-W20</f>
        <v>13</v>
      </c>
      <c r="E20" s="19" t="n">
        <v>0</v>
      </c>
      <c r="F20" s="19" t="n">
        <f aca="false">X21-X20</f>
        <v>40</v>
      </c>
      <c r="G20" s="19" t="n">
        <v>0</v>
      </c>
      <c r="H20" s="38" t="n">
        <v>109.290322580645</v>
      </c>
      <c r="I20" s="38" t="n">
        <v>46.8387096774194</v>
      </c>
      <c r="J20" s="38" t="n">
        <v>2.12258064516129</v>
      </c>
      <c r="K20" s="38" t="n">
        <v>0.909677419354839</v>
      </c>
      <c r="L20" s="38" t="n">
        <v>27.0967741935484</v>
      </c>
      <c r="M20" s="38" t="n">
        <v>11.6129032258065</v>
      </c>
      <c r="N20" s="38" t="n">
        <v>274.15199936</v>
      </c>
      <c r="O20" s="38" t="n">
        <v>53.01599987</v>
      </c>
      <c r="P20" s="19" t="n">
        <f aca="false">AC21-AC20</f>
        <v>0</v>
      </c>
      <c r="Q20" s="19" t="n">
        <v>0</v>
      </c>
      <c r="R20" s="19" t="n">
        <v>0</v>
      </c>
      <c r="S20" s="19" t="n">
        <f aca="false">AD21-AD20</f>
        <v>0</v>
      </c>
      <c r="T20" s="12" t="s">
        <v>46</v>
      </c>
      <c r="U20" s="11"/>
      <c r="V20" s="24" t="n">
        <f aca="false">V19+1</f>
        <v>18</v>
      </c>
      <c r="W20" s="21" t="n">
        <v>8554</v>
      </c>
      <c r="X20" s="21" t="n">
        <v>10465</v>
      </c>
      <c r="Y20" s="21" t="n">
        <v>9454</v>
      </c>
      <c r="Z20" s="21" t="n">
        <v>10832</v>
      </c>
      <c r="AA20" s="21" t="n">
        <v>1279</v>
      </c>
      <c r="AB20" s="21" t="n">
        <v>3885</v>
      </c>
      <c r="AC20" s="21" t="n">
        <v>405</v>
      </c>
      <c r="AD20" s="21" t="n">
        <v>3497</v>
      </c>
    </row>
    <row r="21" customFormat="false" ht="15.75" hidden="false" customHeight="false" outlineLevel="0" collapsed="false">
      <c r="A21" s="42" t="n">
        <f aca="false">A20+1</f>
        <v>45858</v>
      </c>
      <c r="B21" s="38" t="n">
        <v>979.859999529999</v>
      </c>
      <c r="C21" s="38" t="n">
        <v>176.69399991</v>
      </c>
      <c r="D21" s="19" t="n">
        <f aca="false">W22-W21</f>
        <v>65</v>
      </c>
      <c r="E21" s="19" t="n">
        <v>0</v>
      </c>
      <c r="F21" s="19" t="n">
        <f aca="false">X22-X21</f>
        <v>169</v>
      </c>
      <c r="G21" s="19" t="n">
        <v>0</v>
      </c>
      <c r="H21" s="38" t="n">
        <v>109.290322580645</v>
      </c>
      <c r="I21" s="38" t="n">
        <v>46.8387096774194</v>
      </c>
      <c r="J21" s="38" t="n">
        <v>2.12258064516129</v>
      </c>
      <c r="K21" s="38" t="n">
        <v>0.909677419354839</v>
      </c>
      <c r="L21" s="38" t="n">
        <v>27.0967741935484</v>
      </c>
      <c r="M21" s="38" t="n">
        <v>11.6129032258065</v>
      </c>
      <c r="N21" s="38" t="n">
        <v>255.64799942</v>
      </c>
      <c r="O21" s="38" t="n">
        <v>49.0319999</v>
      </c>
      <c r="P21" s="19" t="n">
        <f aca="false">AC22-AC21</f>
        <v>0</v>
      </c>
      <c r="Q21" s="19" t="n">
        <v>0</v>
      </c>
      <c r="R21" s="19" t="n">
        <v>0</v>
      </c>
      <c r="S21" s="19" t="n">
        <f aca="false">AD22-AD21</f>
        <v>0</v>
      </c>
      <c r="T21" s="12" t="s">
        <v>95</v>
      </c>
      <c r="U21" s="11"/>
      <c r="V21" s="24" t="n">
        <f aca="false">V20+1</f>
        <v>19</v>
      </c>
      <c r="W21" s="21" t="n">
        <v>8567</v>
      </c>
      <c r="X21" s="21" t="n">
        <v>10505</v>
      </c>
      <c r="Y21" s="21" t="n">
        <v>9454</v>
      </c>
      <c r="Z21" s="21" t="n">
        <v>10832</v>
      </c>
      <c r="AA21" s="21" t="n">
        <v>1280</v>
      </c>
      <c r="AB21" s="21" t="n">
        <v>3885</v>
      </c>
      <c r="AC21" s="21" t="n">
        <v>405</v>
      </c>
      <c r="AD21" s="21" t="n">
        <v>3497</v>
      </c>
    </row>
    <row r="22" customFormat="false" ht="15.75" hidden="false" customHeight="false" outlineLevel="0" collapsed="false">
      <c r="A22" s="42" t="n">
        <f aca="false">A21+1</f>
        <v>45859</v>
      </c>
      <c r="B22" s="38" t="n">
        <v>1254.37199951</v>
      </c>
      <c r="C22" s="38" t="n">
        <v>191.64599993</v>
      </c>
      <c r="D22" s="19" t="n">
        <f aca="false">W23-W22</f>
        <v>49</v>
      </c>
      <c r="E22" s="19" t="n">
        <v>0</v>
      </c>
      <c r="F22" s="19" t="n">
        <f aca="false">X23-X22</f>
        <v>91</v>
      </c>
      <c r="G22" s="19" t="n">
        <v>0</v>
      </c>
      <c r="H22" s="38" t="n">
        <v>109.290322580645</v>
      </c>
      <c r="I22" s="38" t="n">
        <v>46.8387096774194</v>
      </c>
      <c r="J22" s="38" t="n">
        <v>2.12258064516129</v>
      </c>
      <c r="K22" s="38" t="n">
        <v>0.909677419354839</v>
      </c>
      <c r="L22" s="38" t="n">
        <v>27.0967741935484</v>
      </c>
      <c r="M22" s="38" t="n">
        <v>11.6129032258065</v>
      </c>
      <c r="N22" s="38" t="n">
        <v>264.26399942</v>
      </c>
      <c r="O22" s="38" t="n">
        <v>59.85599989</v>
      </c>
      <c r="P22" s="19" t="n">
        <f aca="false">AC23-AC22</f>
        <v>0</v>
      </c>
      <c r="Q22" s="19" t="n">
        <v>0</v>
      </c>
      <c r="R22" s="19" t="n">
        <v>0</v>
      </c>
      <c r="S22" s="19" t="n">
        <f aca="false">AD23-AD22</f>
        <v>6</v>
      </c>
      <c r="T22" s="12" t="s">
        <v>96</v>
      </c>
      <c r="U22" s="11"/>
      <c r="V22" s="24" t="n">
        <f aca="false">V21+1</f>
        <v>20</v>
      </c>
      <c r="W22" s="21" t="n">
        <v>8632</v>
      </c>
      <c r="X22" s="21" t="n">
        <v>10674</v>
      </c>
      <c r="Y22" s="21" t="n">
        <v>9465</v>
      </c>
      <c r="Z22" s="21" t="n">
        <v>10832</v>
      </c>
      <c r="AA22" s="21" t="n">
        <v>1280</v>
      </c>
      <c r="AB22" s="21" t="n">
        <v>3887</v>
      </c>
      <c r="AC22" s="21" t="n">
        <v>405</v>
      </c>
      <c r="AD22" s="21" t="n">
        <v>3497</v>
      </c>
    </row>
    <row r="23" customFormat="false" ht="15.75" hidden="false" customHeight="false" outlineLevel="0" collapsed="false">
      <c r="A23" s="42" t="n">
        <f aca="false">A22+1</f>
        <v>45860</v>
      </c>
      <c r="B23" s="38" t="n">
        <v>1495.4939995</v>
      </c>
      <c r="C23" s="38" t="n">
        <v>213.06599992</v>
      </c>
      <c r="D23" s="19" t="n">
        <f aca="false">W24-W23</f>
        <v>0</v>
      </c>
      <c r="E23" s="19" t="n">
        <v>0</v>
      </c>
      <c r="F23" s="19" t="n">
        <f aca="false">X24-X23</f>
        <v>0</v>
      </c>
      <c r="G23" s="19" t="n">
        <v>0</v>
      </c>
      <c r="H23" s="38" t="n">
        <v>109.290322580645</v>
      </c>
      <c r="I23" s="38" t="n">
        <v>46.8387096774194</v>
      </c>
      <c r="J23" s="38" t="n">
        <v>2.12258064516129</v>
      </c>
      <c r="K23" s="38" t="n">
        <v>0.909677419354839</v>
      </c>
      <c r="L23" s="38" t="n">
        <v>27.0967741935484</v>
      </c>
      <c r="M23" s="38" t="n">
        <v>11.6129032258065</v>
      </c>
      <c r="N23" s="38" t="n">
        <v>280.87199935</v>
      </c>
      <c r="O23" s="38" t="n">
        <v>56.51999989</v>
      </c>
      <c r="P23" s="19" t="n">
        <f aca="false">AC24-AC23</f>
        <v>0</v>
      </c>
      <c r="Q23" s="19" t="n">
        <v>0</v>
      </c>
      <c r="R23" s="19" t="n">
        <v>0</v>
      </c>
      <c r="S23" s="19" t="n">
        <f aca="false">AD24-AD23</f>
        <v>0</v>
      </c>
      <c r="T23" s="12" t="s">
        <v>46</v>
      </c>
      <c r="U23" s="11"/>
      <c r="V23" s="24" t="n">
        <f aca="false">V22+1</f>
        <v>21</v>
      </c>
      <c r="W23" s="21" t="n">
        <v>8681</v>
      </c>
      <c r="X23" s="21" t="n">
        <v>10765</v>
      </c>
      <c r="Y23" s="21" t="n">
        <v>9465</v>
      </c>
      <c r="Z23" s="21" t="n">
        <v>10832</v>
      </c>
      <c r="AA23" s="21" t="n">
        <v>1280</v>
      </c>
      <c r="AB23" s="21" t="n">
        <v>3895</v>
      </c>
      <c r="AC23" s="21" t="n">
        <v>405</v>
      </c>
      <c r="AD23" s="21" t="n">
        <v>3503</v>
      </c>
    </row>
    <row r="24" customFormat="false" ht="15.75" hidden="false" customHeight="false" outlineLevel="0" collapsed="false">
      <c r="A24" s="42" t="n">
        <f aca="false">A23+1</f>
        <v>45861</v>
      </c>
      <c r="B24" s="38" t="n">
        <v>1533.16799941</v>
      </c>
      <c r="C24" s="38" t="n">
        <v>238.01399993</v>
      </c>
      <c r="D24" s="19" t="n">
        <f aca="false">W25-W24</f>
        <v>0</v>
      </c>
      <c r="E24" s="19" t="n">
        <v>0</v>
      </c>
      <c r="F24" s="19" t="n">
        <f aca="false">X25-X24</f>
        <v>0</v>
      </c>
      <c r="G24" s="19" t="n">
        <v>0</v>
      </c>
      <c r="H24" s="38" t="n">
        <v>109.290322580645</v>
      </c>
      <c r="I24" s="38" t="n">
        <v>46.8387096774194</v>
      </c>
      <c r="J24" s="38" t="n">
        <v>2.12258064516129</v>
      </c>
      <c r="K24" s="38" t="n">
        <v>0.909677419354839</v>
      </c>
      <c r="L24" s="38" t="n">
        <v>27.0967741935484</v>
      </c>
      <c r="M24" s="38" t="n">
        <v>11.6129032258065</v>
      </c>
      <c r="N24" s="38" t="n">
        <v>270.69599942</v>
      </c>
      <c r="O24" s="38" t="n">
        <v>63.11999991</v>
      </c>
      <c r="P24" s="19" t="n">
        <f aca="false">AC25-AC24</f>
        <v>0</v>
      </c>
      <c r="Q24" s="19" t="n">
        <v>0</v>
      </c>
      <c r="R24" s="19" t="n">
        <v>0</v>
      </c>
      <c r="S24" s="19" t="n">
        <f aca="false">AD25-AD24</f>
        <v>0</v>
      </c>
      <c r="T24" s="12" t="s">
        <v>97</v>
      </c>
      <c r="U24" s="11"/>
      <c r="V24" s="24" t="n">
        <f aca="false">V23+1</f>
        <v>22</v>
      </c>
      <c r="W24" s="21" t="n">
        <v>8681</v>
      </c>
      <c r="X24" s="21" t="n">
        <v>10765</v>
      </c>
      <c r="Y24" s="21" t="n">
        <v>9465</v>
      </c>
      <c r="Z24" s="21" t="n">
        <v>10832</v>
      </c>
      <c r="AA24" s="21" t="n">
        <v>1280</v>
      </c>
      <c r="AB24" s="21" t="n">
        <v>3895</v>
      </c>
      <c r="AC24" s="21" t="n">
        <v>405</v>
      </c>
      <c r="AD24" s="21" t="n">
        <v>3503</v>
      </c>
    </row>
    <row r="25" customFormat="false" ht="15.75" hidden="false" customHeight="false" outlineLevel="0" collapsed="false">
      <c r="A25" s="42" t="n">
        <f aca="false">A24+1</f>
        <v>45862</v>
      </c>
      <c r="B25" s="38" t="n">
        <v>1690.66799947</v>
      </c>
      <c r="C25" s="38" t="n">
        <v>238.22399993</v>
      </c>
      <c r="D25" s="19" t="n">
        <f aca="false">W26-W25</f>
        <v>0</v>
      </c>
      <c r="E25" s="19" t="n">
        <v>0</v>
      </c>
      <c r="F25" s="19" t="n">
        <f aca="false">X26-X25</f>
        <v>0</v>
      </c>
      <c r="G25" s="19" t="n">
        <v>0</v>
      </c>
      <c r="H25" s="38" t="n">
        <v>109.290322580645</v>
      </c>
      <c r="I25" s="38" t="n">
        <v>46.8387096774194</v>
      </c>
      <c r="J25" s="38" t="n">
        <v>2.12258064516129</v>
      </c>
      <c r="K25" s="38" t="n">
        <v>0.909677419354839</v>
      </c>
      <c r="L25" s="38" t="n">
        <v>27.0967741935484</v>
      </c>
      <c r="M25" s="38" t="n">
        <v>11.6129032258065</v>
      </c>
      <c r="N25" s="38" t="n">
        <v>294.16799944</v>
      </c>
      <c r="O25" s="38" t="n">
        <v>55.60799991</v>
      </c>
      <c r="P25" s="19" t="n">
        <f aca="false">AC26-AC25</f>
        <v>0</v>
      </c>
      <c r="Q25" s="19" t="n">
        <v>0</v>
      </c>
      <c r="R25" s="19" t="n">
        <v>0</v>
      </c>
      <c r="S25" s="19" t="n">
        <f aca="false">AD26-AD25</f>
        <v>0</v>
      </c>
      <c r="T25" s="12" t="s">
        <v>97</v>
      </c>
      <c r="U25" s="11"/>
      <c r="V25" s="24" t="n">
        <f aca="false">V24+1</f>
        <v>23</v>
      </c>
      <c r="W25" s="21" t="n">
        <v>8681</v>
      </c>
      <c r="X25" s="21" t="n">
        <v>10765</v>
      </c>
      <c r="Y25" s="21" t="n">
        <v>9465</v>
      </c>
      <c r="Z25" s="21" t="n">
        <v>10832</v>
      </c>
      <c r="AA25" s="21" t="n">
        <v>1280</v>
      </c>
      <c r="AB25" s="21" t="n">
        <v>3895</v>
      </c>
      <c r="AC25" s="21" t="n">
        <v>405</v>
      </c>
      <c r="AD25" s="21" t="n">
        <v>3503</v>
      </c>
    </row>
    <row r="26" customFormat="false" ht="15.75" hidden="false" customHeight="false" outlineLevel="0" collapsed="false">
      <c r="A26" s="42" t="n">
        <f aca="false">A25+1</f>
        <v>45863</v>
      </c>
      <c r="B26" s="38" t="n">
        <v>1235.5559995</v>
      </c>
      <c r="C26" s="38" t="n">
        <v>165.1439999</v>
      </c>
      <c r="D26" s="19" t="n">
        <f aca="false">W27-W26</f>
        <v>204</v>
      </c>
      <c r="E26" s="19" t="n">
        <v>0</v>
      </c>
      <c r="F26" s="19" t="n">
        <f aca="false">X27-X26</f>
        <v>142</v>
      </c>
      <c r="G26" s="19" t="n">
        <v>0</v>
      </c>
      <c r="H26" s="38" t="n">
        <v>109.290322580645</v>
      </c>
      <c r="I26" s="38" t="n">
        <v>46.8387096774194</v>
      </c>
      <c r="J26" s="38" t="n">
        <v>2.12258064516129</v>
      </c>
      <c r="K26" s="38" t="n">
        <v>0.909677419354839</v>
      </c>
      <c r="L26" s="38" t="n">
        <v>27.0967741935484</v>
      </c>
      <c r="M26" s="38" t="n">
        <v>11.6129032258065</v>
      </c>
      <c r="N26" s="38" t="n">
        <v>297.31199935</v>
      </c>
      <c r="O26" s="38" t="n">
        <v>55.48799991</v>
      </c>
      <c r="P26" s="19" t="n">
        <f aca="false">AC27-AC26</f>
        <v>0</v>
      </c>
      <c r="Q26" s="19" t="n">
        <v>0</v>
      </c>
      <c r="R26" s="19" t="n">
        <v>0</v>
      </c>
      <c r="S26" s="19" t="n">
        <f aca="false">AD27-AD26</f>
        <v>13</v>
      </c>
      <c r="T26" s="12" t="s">
        <v>98</v>
      </c>
      <c r="U26" s="11"/>
      <c r="V26" s="26" t="n">
        <f aca="false">V25+1</f>
        <v>24</v>
      </c>
      <c r="W26" s="21" t="n">
        <v>8681</v>
      </c>
      <c r="X26" s="21" t="n">
        <v>10765</v>
      </c>
      <c r="Y26" s="21" t="n">
        <v>9465</v>
      </c>
      <c r="Z26" s="21" t="n">
        <v>10832</v>
      </c>
      <c r="AA26" s="21" t="n">
        <v>1280</v>
      </c>
      <c r="AB26" s="21" t="n">
        <v>3895</v>
      </c>
      <c r="AC26" s="21" t="n">
        <v>405</v>
      </c>
      <c r="AD26" s="21" t="n">
        <v>3503</v>
      </c>
    </row>
    <row r="27" customFormat="false" ht="15.75" hidden="false" customHeight="false" outlineLevel="0" collapsed="false">
      <c r="A27" s="42" t="n">
        <f aca="false">A26+1</f>
        <v>45864</v>
      </c>
      <c r="B27" s="38" t="n">
        <v>915.5159995</v>
      </c>
      <c r="C27" s="38" t="n">
        <v>158.25599992</v>
      </c>
      <c r="D27" s="19" t="n">
        <f aca="false">W28-W27</f>
        <v>78</v>
      </c>
      <c r="E27" s="19" t="n">
        <v>0</v>
      </c>
      <c r="F27" s="19" t="n">
        <f aca="false">X28-X27</f>
        <v>59</v>
      </c>
      <c r="G27" s="19" t="n">
        <v>0</v>
      </c>
      <c r="H27" s="38" t="n">
        <v>109.290322580645</v>
      </c>
      <c r="I27" s="38" t="n">
        <v>46.8387096774194</v>
      </c>
      <c r="J27" s="38" t="n">
        <v>2.12258064516129</v>
      </c>
      <c r="K27" s="38" t="n">
        <v>0.909677419354839</v>
      </c>
      <c r="L27" s="38" t="n">
        <v>27.0967741935484</v>
      </c>
      <c r="M27" s="38" t="n">
        <v>11.6129032258065</v>
      </c>
      <c r="N27" s="38" t="n">
        <v>285.45599936</v>
      </c>
      <c r="O27" s="38" t="n">
        <v>53.32799988</v>
      </c>
      <c r="P27" s="19" t="n">
        <f aca="false">AC28-AC27</f>
        <v>0</v>
      </c>
      <c r="Q27" s="19" t="n">
        <v>0</v>
      </c>
      <c r="R27" s="19" t="n">
        <v>0</v>
      </c>
      <c r="S27" s="19" t="n">
        <f aca="false">AD28-AD27</f>
        <v>3</v>
      </c>
      <c r="T27" s="12" t="s">
        <v>46</v>
      </c>
      <c r="U27" s="11"/>
      <c r="V27" s="24" t="n">
        <f aca="false">V26+1</f>
        <v>25</v>
      </c>
      <c r="W27" s="21" t="n">
        <v>8885</v>
      </c>
      <c r="X27" s="21" t="n">
        <v>10907</v>
      </c>
      <c r="Y27" s="21" t="n">
        <v>9479</v>
      </c>
      <c r="Z27" s="21" t="n">
        <v>10835</v>
      </c>
      <c r="AA27" s="21" t="n">
        <v>1280</v>
      </c>
      <c r="AB27" s="21" t="n">
        <v>3910</v>
      </c>
      <c r="AC27" s="21" t="n">
        <v>405</v>
      </c>
      <c r="AD27" s="21" t="n">
        <v>3516</v>
      </c>
    </row>
    <row r="28" customFormat="false" ht="15.75" hidden="false" customHeight="false" outlineLevel="0" collapsed="false">
      <c r="A28" s="42" t="n">
        <f aca="false">A27+1</f>
        <v>45865</v>
      </c>
      <c r="B28" s="38" t="n">
        <v>931.85399951</v>
      </c>
      <c r="C28" s="38" t="n">
        <v>160.06199993</v>
      </c>
      <c r="D28" s="19" t="n">
        <f aca="false">W29-W28</f>
        <v>0</v>
      </c>
      <c r="E28" s="19" t="n">
        <v>0</v>
      </c>
      <c r="F28" s="19" t="n">
        <f aca="false">X29-X28</f>
        <v>48</v>
      </c>
      <c r="G28" s="19" t="n">
        <v>0</v>
      </c>
      <c r="H28" s="38" t="n">
        <v>109.290322580645</v>
      </c>
      <c r="I28" s="38" t="n">
        <v>46.8387096774194</v>
      </c>
      <c r="J28" s="38" t="n">
        <v>2.12258064516129</v>
      </c>
      <c r="K28" s="38" t="n">
        <v>0.909677419354839</v>
      </c>
      <c r="L28" s="38" t="n">
        <v>27.0967741935484</v>
      </c>
      <c r="M28" s="38" t="n">
        <v>11.6129032258065</v>
      </c>
      <c r="N28" s="38" t="n">
        <v>295.63199935</v>
      </c>
      <c r="O28" s="38" t="n">
        <v>56.92799991</v>
      </c>
      <c r="P28" s="19" t="n">
        <f aca="false">AC29-AC28</f>
        <v>0</v>
      </c>
      <c r="Q28" s="19" t="n">
        <v>0</v>
      </c>
      <c r="R28" s="19" t="n">
        <v>0</v>
      </c>
      <c r="S28" s="19" t="n">
        <f aca="false">AD29-AD28</f>
        <v>4</v>
      </c>
      <c r="T28" s="12" t="s">
        <v>46</v>
      </c>
      <c r="U28" s="11"/>
      <c r="V28" s="24" t="n">
        <f aca="false">V27+1</f>
        <v>26</v>
      </c>
      <c r="W28" s="21" t="n">
        <v>8963</v>
      </c>
      <c r="X28" s="21" t="n">
        <v>10966</v>
      </c>
      <c r="Y28" s="21" t="n">
        <v>9484</v>
      </c>
      <c r="Z28" s="21" t="n">
        <v>10835</v>
      </c>
      <c r="AA28" s="21" t="n">
        <v>1280</v>
      </c>
      <c r="AB28" s="21" t="n">
        <v>3915</v>
      </c>
      <c r="AC28" s="21" t="n">
        <v>405</v>
      </c>
      <c r="AD28" s="21" t="n">
        <v>3519</v>
      </c>
    </row>
    <row r="29" customFormat="false" ht="15.75" hidden="false" customHeight="false" outlineLevel="0" collapsed="false">
      <c r="A29" s="42" t="n">
        <f aca="false">A28+1</f>
        <v>45866</v>
      </c>
      <c r="B29" s="38" t="n">
        <v>1491.12599948</v>
      </c>
      <c r="C29" s="38" t="n">
        <v>187.86599993</v>
      </c>
      <c r="D29" s="19" t="n">
        <f aca="false">W30-W29</f>
        <v>0</v>
      </c>
      <c r="E29" s="19" t="n">
        <v>0</v>
      </c>
      <c r="F29" s="19" t="n">
        <f aca="false">X30-X29</f>
        <v>0</v>
      </c>
      <c r="G29" s="19" t="n">
        <v>0</v>
      </c>
      <c r="H29" s="38" t="n">
        <v>109.290322580645</v>
      </c>
      <c r="I29" s="38" t="n">
        <v>46.8387096774194</v>
      </c>
      <c r="J29" s="38" t="n">
        <v>2.12258064516129</v>
      </c>
      <c r="K29" s="38" t="n">
        <v>0.909677419354839</v>
      </c>
      <c r="L29" s="38" t="n">
        <v>27.0967741935484</v>
      </c>
      <c r="M29" s="38" t="n">
        <v>11.6129032258065</v>
      </c>
      <c r="N29" s="38" t="n">
        <v>274.46399933</v>
      </c>
      <c r="O29" s="38" t="n">
        <v>54.45599993</v>
      </c>
      <c r="P29" s="19" t="n">
        <f aca="false">AC30-AC29</f>
        <v>0</v>
      </c>
      <c r="Q29" s="19" t="n">
        <v>0</v>
      </c>
      <c r="R29" s="19" t="n">
        <v>0</v>
      </c>
      <c r="S29" s="19" t="n">
        <f aca="false">AD30-AD29</f>
        <v>0</v>
      </c>
      <c r="T29" s="12" t="s">
        <v>99</v>
      </c>
      <c r="U29" s="11"/>
      <c r="V29" s="24" t="n">
        <f aca="false">V28+1</f>
        <v>27</v>
      </c>
      <c r="W29" s="21" t="n">
        <v>8963</v>
      </c>
      <c r="X29" s="21" t="n">
        <v>11014</v>
      </c>
      <c r="Y29" s="21" t="n">
        <v>9490</v>
      </c>
      <c r="Z29" s="21" t="n">
        <v>10836</v>
      </c>
      <c r="AA29" s="21" t="n">
        <v>1281</v>
      </c>
      <c r="AB29" s="21" t="n">
        <v>3918</v>
      </c>
      <c r="AC29" s="21" t="n">
        <v>405</v>
      </c>
      <c r="AD29" s="21" t="n">
        <v>3523</v>
      </c>
    </row>
    <row r="30" customFormat="false" ht="15.75" hidden="false" customHeight="false" outlineLevel="0" collapsed="false">
      <c r="A30" s="42" t="n">
        <f aca="false">A29+1</f>
        <v>45867</v>
      </c>
      <c r="B30" s="38" t="n">
        <v>1269.19799952</v>
      </c>
      <c r="C30" s="38" t="n">
        <v>213.06599994</v>
      </c>
      <c r="D30" s="19" t="n">
        <f aca="false">W31-W30</f>
        <v>87</v>
      </c>
      <c r="E30" s="19" t="n">
        <v>0</v>
      </c>
      <c r="F30" s="19" t="n">
        <f aca="false">X31-X30</f>
        <v>79</v>
      </c>
      <c r="G30" s="19" t="n">
        <v>0</v>
      </c>
      <c r="H30" s="38" t="n">
        <v>109.290322580645</v>
      </c>
      <c r="I30" s="38" t="n">
        <v>46.8387096774194</v>
      </c>
      <c r="J30" s="38" t="n">
        <v>2.12258064516129</v>
      </c>
      <c r="K30" s="38" t="n">
        <v>0.909677419354839</v>
      </c>
      <c r="L30" s="38" t="n">
        <v>27.0967741935484</v>
      </c>
      <c r="M30" s="38" t="n">
        <v>11.6129032258065</v>
      </c>
      <c r="N30" s="38" t="n">
        <v>226.48799935</v>
      </c>
      <c r="O30" s="38" t="n">
        <v>47.6399999</v>
      </c>
      <c r="P30" s="19" t="n">
        <f aca="false">AC31-AC30</f>
        <v>-10</v>
      </c>
      <c r="Q30" s="19" t="n">
        <v>0</v>
      </c>
      <c r="R30" s="19" t="n">
        <v>0</v>
      </c>
      <c r="S30" s="19" t="n">
        <f aca="false">AD31-AD30</f>
        <v>8</v>
      </c>
      <c r="T30" s="12" t="s">
        <v>100</v>
      </c>
      <c r="U30" s="11"/>
      <c r="V30" s="24" t="n">
        <f aca="false">V29+1</f>
        <v>28</v>
      </c>
      <c r="W30" s="21" t="n">
        <v>8963</v>
      </c>
      <c r="X30" s="21" t="n">
        <v>11014</v>
      </c>
      <c r="Y30" s="21" t="n">
        <v>9490</v>
      </c>
      <c r="Z30" s="21" t="n">
        <v>10836</v>
      </c>
      <c r="AA30" s="21" t="n">
        <v>1281</v>
      </c>
      <c r="AB30" s="21" t="n">
        <v>3918</v>
      </c>
      <c r="AC30" s="21" t="n">
        <v>405</v>
      </c>
      <c r="AD30" s="21" t="n">
        <v>3523</v>
      </c>
    </row>
    <row r="31" customFormat="false" ht="35.05" hidden="false" customHeight="false" outlineLevel="0" collapsed="false">
      <c r="A31" s="42" t="n">
        <f aca="false">A30+1</f>
        <v>45868</v>
      </c>
      <c r="B31" s="38" t="n">
        <v>1219.5959995</v>
      </c>
      <c r="C31" s="38" t="n">
        <v>190.80599994</v>
      </c>
      <c r="D31" s="19" t="n">
        <f aca="false">W32-W31</f>
        <v>0</v>
      </c>
      <c r="E31" s="19" t="n">
        <v>0</v>
      </c>
      <c r="F31" s="19" t="n">
        <f aca="false">X32-X31</f>
        <v>0</v>
      </c>
      <c r="G31" s="19" t="n">
        <v>0</v>
      </c>
      <c r="H31" s="38" t="n">
        <v>109.290322580645</v>
      </c>
      <c r="I31" s="38" t="n">
        <v>46.8387096774194</v>
      </c>
      <c r="J31" s="38" t="n">
        <v>2.12258064516129</v>
      </c>
      <c r="K31" s="38" t="n">
        <v>0.909677419354839</v>
      </c>
      <c r="L31" s="38" t="n">
        <v>27.0967741935484</v>
      </c>
      <c r="M31" s="38" t="n">
        <v>11.6129032258065</v>
      </c>
      <c r="N31" s="38" t="n">
        <v>233.99999934</v>
      </c>
      <c r="O31" s="38" t="n">
        <v>48.02399993</v>
      </c>
      <c r="P31" s="19" t="n">
        <f aca="false">AC32-AC31</f>
        <v>0</v>
      </c>
      <c r="Q31" s="19" t="n">
        <v>0</v>
      </c>
      <c r="R31" s="19" t="n">
        <v>0</v>
      </c>
      <c r="S31" s="19" t="n">
        <f aca="false">AD32-AD31</f>
        <v>0</v>
      </c>
      <c r="T31" s="12" t="s">
        <v>101</v>
      </c>
      <c r="U31" s="11"/>
      <c r="V31" s="24" t="n">
        <f aca="false">V30+1</f>
        <v>29</v>
      </c>
      <c r="W31" s="21" t="n">
        <v>9050</v>
      </c>
      <c r="X31" s="21" t="n">
        <v>11093</v>
      </c>
      <c r="Y31" s="21" t="n">
        <v>9498</v>
      </c>
      <c r="Z31" s="21" t="n">
        <v>10837</v>
      </c>
      <c r="AA31" s="21" t="n">
        <v>1281</v>
      </c>
      <c r="AB31" s="21" t="n">
        <v>3927</v>
      </c>
      <c r="AC31" s="21" t="n">
        <v>395</v>
      </c>
      <c r="AD31" s="21" t="n">
        <v>3531</v>
      </c>
    </row>
    <row r="32" customFormat="false" ht="15.75" hidden="false" customHeight="false" outlineLevel="0" collapsed="false">
      <c r="A32" s="42" t="n">
        <f aca="false">A31+1</f>
        <v>45869</v>
      </c>
      <c r="B32" s="38" t="n">
        <v>1298.93399955</v>
      </c>
      <c r="C32" s="38" t="n">
        <v>200.59199992</v>
      </c>
      <c r="D32" s="19" t="n">
        <f aca="false">W33-W32</f>
        <v>85</v>
      </c>
      <c r="E32" s="19" t="n">
        <v>0</v>
      </c>
      <c r="F32" s="19" t="n">
        <f aca="false">X33-X32</f>
        <v>101</v>
      </c>
      <c r="G32" s="19" t="n">
        <v>0</v>
      </c>
      <c r="H32" s="38" t="n">
        <v>109.290322580645</v>
      </c>
      <c r="I32" s="38" t="n">
        <v>46.8387096774194</v>
      </c>
      <c r="J32" s="38" t="n">
        <v>2.12258064516129</v>
      </c>
      <c r="K32" s="38" t="n">
        <v>0.909677419354839</v>
      </c>
      <c r="L32" s="38" t="n">
        <v>27.0967741935484</v>
      </c>
      <c r="M32" s="38" t="n">
        <v>11.6129032258065</v>
      </c>
      <c r="N32" s="38" t="n">
        <v>228.04799943</v>
      </c>
      <c r="O32" s="38" t="n">
        <v>55.17599988</v>
      </c>
      <c r="P32" s="19" t="n">
        <f aca="false">AC33-AC32</f>
        <v>1</v>
      </c>
      <c r="Q32" s="19" t="n">
        <v>0</v>
      </c>
      <c r="R32" s="19" t="n">
        <v>0</v>
      </c>
      <c r="S32" s="19" t="n">
        <f aca="false">AD33-AD32</f>
        <v>6</v>
      </c>
      <c r="T32" s="12" t="s">
        <v>102</v>
      </c>
      <c r="U32" s="11"/>
      <c r="V32" s="24" t="n">
        <f aca="false">V31+1</f>
        <v>30</v>
      </c>
      <c r="W32" s="21" t="n">
        <v>9050</v>
      </c>
      <c r="X32" s="21" t="n">
        <v>11093</v>
      </c>
      <c r="Y32" s="21" t="n">
        <v>9498</v>
      </c>
      <c r="Z32" s="21" t="n">
        <v>10837</v>
      </c>
      <c r="AA32" s="21" t="n">
        <v>1281</v>
      </c>
      <c r="AB32" s="21" t="n">
        <v>3927</v>
      </c>
      <c r="AC32" s="21" t="n">
        <v>395</v>
      </c>
      <c r="AD32" s="21" t="n">
        <v>3531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9135</v>
      </c>
      <c r="X33" s="21" t="n">
        <v>11194</v>
      </c>
      <c r="Y33" s="21" t="n">
        <v>9505</v>
      </c>
      <c r="Z33" s="21" t="n">
        <v>10839</v>
      </c>
      <c r="AA33" s="21" t="n">
        <v>1282</v>
      </c>
      <c r="AB33" s="21" t="n">
        <v>3934</v>
      </c>
      <c r="AC33" s="21" t="n">
        <v>396</v>
      </c>
      <c r="AD33" s="21" t="n">
        <v>3537</v>
      </c>
    </row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  <c r="Q36" s="40"/>
      <c r="R36" s="40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5" min="2" style="1" width="14.42"/>
    <col collapsed="false" customWidth="true" hidden="false" outlineLevel="0" max="7" min="6" style="1" width="15"/>
    <col collapsed="false" customWidth="true" hidden="false" outlineLevel="0" max="11" min="10" style="1" width="17"/>
    <col collapsed="false" customWidth="true" hidden="false" outlineLevel="0" max="13" min="12" style="1" width="14.14"/>
    <col collapsed="false" customWidth="true" hidden="false" outlineLevel="0" max="15" min="14" style="1" width="13.42"/>
    <col collapsed="false" customWidth="true" hidden="false" outlineLevel="0" max="18" min="16" style="1" width="14.14"/>
    <col collapsed="false" customWidth="true" hidden="false" outlineLevel="0" max="19" min="19" style="1" width="14.29"/>
    <col collapsed="false" customWidth="true" hidden="false" outlineLevel="0" max="20" min="20" style="1" width="47.29"/>
    <col collapsed="false" customWidth="false" hidden="false" outlineLevel="0" max="21" min="21" style="11" width="12.57"/>
    <col collapsed="false" customWidth="true" hidden="false" outlineLevel="0" max="22" min="22" style="1" width="13"/>
    <col collapsed="false" customWidth="true" hidden="false" outlineLevel="0" max="23" min="23" style="1" width="11.57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45809</v>
      </c>
      <c r="B2" s="38" t="n">
        <v>1003.16999954</v>
      </c>
      <c r="C2" s="38" t="n">
        <v>183.7919999</v>
      </c>
      <c r="D2" s="13" t="n">
        <f aca="false">W3-W2</f>
        <v>54</v>
      </c>
      <c r="E2" s="13" t="n">
        <f aca="false">D2*0.13</f>
        <v>7.02</v>
      </c>
      <c r="F2" s="13" t="n">
        <f aca="false">X3-X2</f>
        <v>62</v>
      </c>
      <c r="G2" s="13" t="n">
        <f aca="false">F2*0.13</f>
        <v>8.06</v>
      </c>
      <c r="H2" s="38" t="n">
        <v>118</v>
      </c>
      <c r="I2" s="13" t="n">
        <v>39.3333333333333</v>
      </c>
      <c r="J2" s="19" t="n">
        <v>36</v>
      </c>
      <c r="K2" s="12" t="n">
        <v>12</v>
      </c>
      <c r="L2" s="38" t="n">
        <v>30</v>
      </c>
      <c r="M2" s="38" t="n">
        <v>10</v>
      </c>
      <c r="N2" s="38" t="n">
        <v>276.91199939</v>
      </c>
      <c r="O2" s="13" t="n">
        <v>58.7279999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7</v>
      </c>
      <c r="T2" s="12"/>
      <c r="V2" s="14" t="n">
        <v>0</v>
      </c>
      <c r="W2" s="48" t="n">
        <v>6375</v>
      </c>
      <c r="X2" s="48" t="n">
        <v>8136</v>
      </c>
      <c r="Y2" s="48" t="n">
        <v>9263</v>
      </c>
      <c r="Z2" s="48" t="n">
        <v>10802</v>
      </c>
      <c r="AA2" s="48" t="n">
        <v>1270</v>
      </c>
      <c r="AB2" s="48" t="n">
        <v>3687</v>
      </c>
      <c r="AC2" s="48" t="n">
        <v>368</v>
      </c>
      <c r="AD2" s="48" t="n">
        <v>3318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" t="n">
        <v>45810</v>
      </c>
      <c r="B3" s="49" t="n">
        <v>1403.55599957</v>
      </c>
      <c r="C3" s="50" t="n">
        <v>179.08799991</v>
      </c>
      <c r="D3" s="13" t="n">
        <f aca="false">W4-W3</f>
        <v>32</v>
      </c>
      <c r="E3" s="13" t="n">
        <f aca="false">D3*0.13</f>
        <v>4.16</v>
      </c>
      <c r="F3" s="13" t="n">
        <f aca="false">X4-X3</f>
        <v>85</v>
      </c>
      <c r="G3" s="13" t="n">
        <f aca="false">F3*0.13</f>
        <v>11.05</v>
      </c>
      <c r="H3" s="38" t="n">
        <v>118</v>
      </c>
      <c r="I3" s="13" t="n">
        <v>39.3333333333333</v>
      </c>
      <c r="J3" s="19" t="n">
        <v>36</v>
      </c>
      <c r="K3" s="12" t="n">
        <v>12</v>
      </c>
      <c r="L3" s="38" t="n">
        <v>30</v>
      </c>
      <c r="M3" s="38" t="n">
        <v>10</v>
      </c>
      <c r="N3" s="38" t="n">
        <v>218.73599948</v>
      </c>
      <c r="O3" s="13" t="n">
        <v>50.15999991</v>
      </c>
      <c r="P3" s="19" t="n">
        <f aca="false">AC4-AC3</f>
        <v>0</v>
      </c>
      <c r="Q3" s="12" t="n">
        <v>0</v>
      </c>
      <c r="R3" s="12" t="n">
        <v>0</v>
      </c>
      <c r="S3" s="19" t="n">
        <f aca="false">AD4-AD3</f>
        <v>3</v>
      </c>
      <c r="T3" s="12"/>
      <c r="V3" s="18" t="n">
        <v>1</v>
      </c>
      <c r="W3" s="12" t="n">
        <v>6429</v>
      </c>
      <c r="X3" s="12" t="n">
        <v>8198</v>
      </c>
      <c r="Y3" s="12" t="n">
        <v>9269</v>
      </c>
      <c r="Z3" s="12" t="n">
        <v>10803</v>
      </c>
      <c r="AA3" s="12" t="n">
        <v>1271</v>
      </c>
      <c r="AB3" s="12" t="n">
        <v>3694</v>
      </c>
      <c r="AC3" s="12" t="n">
        <v>369</v>
      </c>
      <c r="AD3" s="12" t="n">
        <v>3325</v>
      </c>
    </row>
    <row r="4" customFormat="false" ht="15.75" hidden="false" customHeight="false" outlineLevel="0" collapsed="false">
      <c r="A4" s="4" t="n">
        <v>45811</v>
      </c>
      <c r="B4" s="49" t="n">
        <v>1343.32799945</v>
      </c>
      <c r="C4" s="50" t="n">
        <v>184.42199996</v>
      </c>
      <c r="D4" s="13" t="n">
        <f aca="false">W5-W4</f>
        <v>63</v>
      </c>
      <c r="E4" s="13" t="n">
        <f aca="false">D4*0.13</f>
        <v>8.19</v>
      </c>
      <c r="F4" s="13" t="n">
        <f aca="false">X5-X4</f>
        <v>15</v>
      </c>
      <c r="G4" s="13" t="n">
        <f aca="false">F4*0.13</f>
        <v>1.95</v>
      </c>
      <c r="H4" s="38" t="n">
        <v>118</v>
      </c>
      <c r="I4" s="13" t="n">
        <v>39.3333333333333</v>
      </c>
      <c r="J4" s="19" t="n">
        <v>36</v>
      </c>
      <c r="K4" s="12" t="n">
        <v>12</v>
      </c>
      <c r="L4" s="38" t="n">
        <v>30</v>
      </c>
      <c r="M4" s="38" t="n">
        <v>10</v>
      </c>
      <c r="N4" s="38" t="n">
        <v>294.69599936</v>
      </c>
      <c r="O4" s="13" t="n">
        <v>62.08799989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5</v>
      </c>
      <c r="T4" s="12"/>
      <c r="V4" s="20" t="n">
        <f aca="false">V3+1</f>
        <v>2</v>
      </c>
      <c r="W4" s="12" t="n">
        <v>6461</v>
      </c>
      <c r="X4" s="12" t="n">
        <v>8283</v>
      </c>
      <c r="Y4" s="12" t="n">
        <v>9272</v>
      </c>
      <c r="Z4" s="12" t="n">
        <v>10804</v>
      </c>
      <c r="AA4" s="12" t="n">
        <v>1271</v>
      </c>
      <c r="AB4" s="12" t="n">
        <v>3697</v>
      </c>
      <c r="AC4" s="12" t="n">
        <v>369</v>
      </c>
      <c r="AD4" s="12" t="n">
        <v>3328</v>
      </c>
    </row>
    <row r="5" customFormat="false" ht="15.75" hidden="false" customHeight="false" outlineLevel="0" collapsed="false">
      <c r="A5" s="4" t="n">
        <v>45812</v>
      </c>
      <c r="B5" s="49" t="n">
        <v>1366.42799946</v>
      </c>
      <c r="C5" s="50" t="n">
        <v>209.83199991</v>
      </c>
      <c r="D5" s="13" t="n">
        <f aca="false">W6-W5</f>
        <v>95</v>
      </c>
      <c r="E5" s="13" t="n">
        <f aca="false">D5*0.13</f>
        <v>12.35</v>
      </c>
      <c r="F5" s="13" t="n">
        <f aca="false">X6-X5</f>
        <v>73</v>
      </c>
      <c r="G5" s="13" t="n">
        <f aca="false">F5*0.13</f>
        <v>9.49</v>
      </c>
      <c r="H5" s="38" t="n">
        <v>118</v>
      </c>
      <c r="I5" s="13" t="n">
        <v>39.3333333333333</v>
      </c>
      <c r="J5" s="19" t="n">
        <v>36</v>
      </c>
      <c r="K5" s="12" t="n">
        <v>12</v>
      </c>
      <c r="L5" s="38" t="n">
        <v>30</v>
      </c>
      <c r="M5" s="38" t="n">
        <v>10</v>
      </c>
      <c r="N5" s="38" t="n">
        <v>270.38399931</v>
      </c>
      <c r="O5" s="13" t="n">
        <v>59.23199991</v>
      </c>
      <c r="P5" s="19" t="n">
        <f aca="false">AC6-AC5</f>
        <v>1</v>
      </c>
      <c r="Q5" s="12" t="n">
        <v>0</v>
      </c>
      <c r="R5" s="12" t="n">
        <v>0</v>
      </c>
      <c r="S5" s="19" t="n">
        <f aca="false">AD6-AD5</f>
        <v>3</v>
      </c>
      <c r="T5" s="12"/>
      <c r="V5" s="20" t="n">
        <f aca="false">V4+1</f>
        <v>3</v>
      </c>
      <c r="W5" s="12" t="n">
        <v>6524</v>
      </c>
      <c r="X5" s="12" t="n">
        <v>8298</v>
      </c>
      <c r="Y5" s="12" t="n">
        <v>9275</v>
      </c>
      <c r="Z5" s="12" t="n">
        <v>10804</v>
      </c>
      <c r="AA5" s="12" t="n">
        <v>1271</v>
      </c>
      <c r="AB5" s="12" t="n">
        <v>3702</v>
      </c>
      <c r="AC5" s="12" t="n">
        <v>369</v>
      </c>
      <c r="AD5" s="12" t="n">
        <v>3333</v>
      </c>
    </row>
    <row r="6" customFormat="false" ht="15.75" hidden="false" customHeight="false" outlineLevel="0" collapsed="false">
      <c r="A6" s="4" t="n">
        <v>45813</v>
      </c>
      <c r="B6" s="49" t="n">
        <v>1397.59199952</v>
      </c>
      <c r="C6" s="50" t="n">
        <v>198.70199993</v>
      </c>
      <c r="D6" s="13" t="n">
        <f aca="false">W7-W6</f>
        <v>57</v>
      </c>
      <c r="E6" s="13" t="n">
        <f aca="false">D6*0.13</f>
        <v>7.41</v>
      </c>
      <c r="F6" s="13" t="n">
        <f aca="false">X7-X6</f>
        <v>28</v>
      </c>
      <c r="G6" s="13" t="n">
        <f aca="false">F6*0.13</f>
        <v>3.64</v>
      </c>
      <c r="H6" s="38" t="n">
        <v>118</v>
      </c>
      <c r="I6" s="13" t="n">
        <v>39.3333333333333</v>
      </c>
      <c r="J6" s="19" t="n">
        <v>36</v>
      </c>
      <c r="K6" s="12" t="n">
        <v>12</v>
      </c>
      <c r="L6" s="38" t="n">
        <v>30</v>
      </c>
      <c r="M6" s="38" t="n">
        <v>10</v>
      </c>
      <c r="N6" s="38" t="n">
        <v>271.94399931</v>
      </c>
      <c r="O6" s="13" t="n">
        <v>60.38399989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4</v>
      </c>
      <c r="T6" s="12"/>
      <c r="V6" s="20" t="n">
        <f aca="false">V5+1</f>
        <v>4</v>
      </c>
      <c r="W6" s="12" t="n">
        <v>6619</v>
      </c>
      <c r="X6" s="12" t="n">
        <v>8371</v>
      </c>
      <c r="Y6" s="12" t="n">
        <v>9279</v>
      </c>
      <c r="Z6" s="12" t="n">
        <v>10805</v>
      </c>
      <c r="AA6" s="12" t="n">
        <v>1271</v>
      </c>
      <c r="AB6" s="12" t="n">
        <v>3707</v>
      </c>
      <c r="AC6" s="12" t="n">
        <v>370</v>
      </c>
      <c r="AD6" s="12" t="n">
        <v>3336</v>
      </c>
    </row>
    <row r="7" customFormat="false" ht="15.75" hidden="false" customHeight="false" outlineLevel="0" collapsed="false">
      <c r="A7" s="4" t="n">
        <v>45814</v>
      </c>
      <c r="B7" s="49" t="n">
        <v>1233.58199963</v>
      </c>
      <c r="C7" s="50" t="n">
        <v>181.98599991</v>
      </c>
      <c r="D7" s="13" t="n">
        <f aca="false">W8-W7</f>
        <v>83</v>
      </c>
      <c r="E7" s="13" t="n">
        <f aca="false">D7*0.13</f>
        <v>10.79</v>
      </c>
      <c r="F7" s="13" t="n">
        <f aca="false">X8-X7</f>
        <v>80</v>
      </c>
      <c r="G7" s="13" t="n">
        <f aca="false">F7*0.13</f>
        <v>10.4</v>
      </c>
      <c r="H7" s="38" t="n">
        <v>118</v>
      </c>
      <c r="I7" s="13" t="n">
        <v>39.3333333333333</v>
      </c>
      <c r="J7" s="19" t="n">
        <v>36</v>
      </c>
      <c r="K7" s="12" t="n">
        <v>12</v>
      </c>
      <c r="L7" s="38" t="n">
        <v>30</v>
      </c>
      <c r="M7" s="38" t="n">
        <v>10</v>
      </c>
      <c r="N7" s="38" t="n">
        <v>270.07199934</v>
      </c>
      <c r="O7" s="13" t="n">
        <v>50.90399991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3</v>
      </c>
      <c r="T7" s="12"/>
      <c r="V7" s="20" t="n">
        <f aca="false">V6+1</f>
        <v>5</v>
      </c>
      <c r="W7" s="12" t="n">
        <v>6676</v>
      </c>
      <c r="X7" s="12" t="n">
        <v>8399</v>
      </c>
      <c r="Y7" s="12" t="n">
        <v>9281</v>
      </c>
      <c r="Z7" s="12" t="n">
        <v>10806</v>
      </c>
      <c r="AA7" s="12" t="n">
        <v>1271</v>
      </c>
      <c r="AB7" s="12" t="n">
        <v>3711</v>
      </c>
      <c r="AC7" s="12" t="n">
        <v>371</v>
      </c>
      <c r="AD7" s="12" t="n">
        <v>3340</v>
      </c>
    </row>
    <row r="8" customFormat="false" ht="15.75" hidden="false" customHeight="false" outlineLevel="0" collapsed="false">
      <c r="A8" s="4" t="n">
        <v>45815</v>
      </c>
      <c r="B8" s="49" t="n">
        <v>1000.48199957</v>
      </c>
      <c r="C8" s="50" t="n">
        <v>171.31799996</v>
      </c>
      <c r="D8" s="13" t="n">
        <f aca="false">W9-W8</f>
        <v>34</v>
      </c>
      <c r="E8" s="13" t="n">
        <f aca="false">D8*0.13</f>
        <v>4.42</v>
      </c>
      <c r="F8" s="13" t="n">
        <f aca="false">X9-X8</f>
        <v>30</v>
      </c>
      <c r="G8" s="13" t="n">
        <f aca="false">F8*0.13</f>
        <v>3.9</v>
      </c>
      <c r="H8" s="38" t="n">
        <v>118</v>
      </c>
      <c r="I8" s="13" t="n">
        <v>39.3333333333333</v>
      </c>
      <c r="J8" s="19" t="n">
        <v>36</v>
      </c>
      <c r="K8" s="12" t="n">
        <v>12</v>
      </c>
      <c r="L8" s="38" t="n">
        <v>30</v>
      </c>
      <c r="M8" s="38" t="n">
        <v>10</v>
      </c>
      <c r="N8" s="38" t="n">
        <v>307.19999937</v>
      </c>
      <c r="O8" s="13" t="n">
        <v>58.77599988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4</v>
      </c>
      <c r="T8" s="12"/>
      <c r="V8" s="20" t="n">
        <f aca="false">V7+1</f>
        <v>6</v>
      </c>
      <c r="W8" s="12" t="n">
        <v>6759</v>
      </c>
      <c r="X8" s="12" t="n">
        <v>8479</v>
      </c>
      <c r="Y8" s="12" t="n">
        <v>9287</v>
      </c>
      <c r="Z8" s="12" t="n">
        <v>10807</v>
      </c>
      <c r="AA8" s="12" t="n">
        <v>1272</v>
      </c>
      <c r="AB8" s="12" t="n">
        <v>3712</v>
      </c>
      <c r="AC8" s="12" t="n">
        <v>371</v>
      </c>
      <c r="AD8" s="12" t="n">
        <v>3343</v>
      </c>
    </row>
    <row r="9" customFormat="false" ht="15.75" hidden="false" customHeight="false" outlineLevel="0" collapsed="false">
      <c r="A9" s="4" t="n">
        <v>45816</v>
      </c>
      <c r="B9" s="49" t="n">
        <v>1059.15599948</v>
      </c>
      <c r="C9" s="50" t="n">
        <v>175.55999992</v>
      </c>
      <c r="D9" s="13" t="n">
        <f aca="false">W10-W9</f>
        <v>47</v>
      </c>
      <c r="E9" s="13" t="n">
        <f aca="false">D9*0.13</f>
        <v>6.11</v>
      </c>
      <c r="F9" s="13" t="n">
        <f aca="false">X10-X9</f>
        <v>63</v>
      </c>
      <c r="G9" s="13" t="n">
        <f aca="false">F9*0.13</f>
        <v>8.19</v>
      </c>
      <c r="H9" s="38" t="n">
        <v>118</v>
      </c>
      <c r="I9" s="13" t="n">
        <v>39.3333333333333</v>
      </c>
      <c r="J9" s="19" t="n">
        <v>36</v>
      </c>
      <c r="K9" s="12" t="n">
        <v>12</v>
      </c>
      <c r="L9" s="38" t="n">
        <v>30</v>
      </c>
      <c r="M9" s="38" t="n">
        <v>10</v>
      </c>
      <c r="N9" s="38" t="n">
        <v>298.75199938</v>
      </c>
      <c r="O9" s="13" t="n">
        <v>51.5999999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4</v>
      </c>
      <c r="T9" s="12"/>
      <c r="V9" s="20" t="n">
        <f aca="false">V8+1</f>
        <v>7</v>
      </c>
      <c r="W9" s="12" t="n">
        <v>6793</v>
      </c>
      <c r="X9" s="12" t="n">
        <v>8509</v>
      </c>
      <c r="Y9" s="12" t="n">
        <v>9291</v>
      </c>
      <c r="Z9" s="12" t="n">
        <v>10808</v>
      </c>
      <c r="AA9" s="12" t="n">
        <v>1273</v>
      </c>
      <c r="AB9" s="12" t="n">
        <v>3719</v>
      </c>
      <c r="AC9" s="12" t="n">
        <v>372</v>
      </c>
      <c r="AD9" s="12" t="n">
        <v>3347</v>
      </c>
    </row>
    <row r="10" customFormat="false" ht="15.75" hidden="false" customHeight="false" outlineLevel="0" collapsed="false">
      <c r="A10" s="4" t="n">
        <v>45817</v>
      </c>
      <c r="B10" s="51" t="n">
        <v>1438.70999946</v>
      </c>
      <c r="C10" s="51" t="n">
        <v>200.04599991</v>
      </c>
      <c r="D10" s="13" t="n">
        <f aca="false">W11-W10</f>
        <v>5</v>
      </c>
      <c r="E10" s="13" t="n">
        <f aca="false">D10*0.13</f>
        <v>0.65</v>
      </c>
      <c r="F10" s="13" t="n">
        <f aca="false">X11-X10</f>
        <v>35</v>
      </c>
      <c r="G10" s="13" t="n">
        <f aca="false">F10*0.13</f>
        <v>4.55</v>
      </c>
      <c r="H10" s="38" t="n">
        <v>118</v>
      </c>
      <c r="I10" s="13" t="n">
        <v>39.3333333333333</v>
      </c>
      <c r="J10" s="19" t="n">
        <v>36</v>
      </c>
      <c r="K10" s="12" t="n">
        <v>12</v>
      </c>
      <c r="L10" s="38" t="n">
        <v>30</v>
      </c>
      <c r="M10" s="38" t="n">
        <v>10</v>
      </c>
      <c r="N10" s="38" t="n">
        <v>284.18399931</v>
      </c>
      <c r="O10" s="13" t="n">
        <v>61.7279999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0</v>
      </c>
      <c r="T10" s="12"/>
      <c r="V10" s="20" t="n">
        <f aca="false">V9+1</f>
        <v>8</v>
      </c>
      <c r="W10" s="12" t="n">
        <v>6840</v>
      </c>
      <c r="X10" s="12" t="n">
        <v>8572</v>
      </c>
      <c r="Y10" s="12" t="n">
        <v>9291</v>
      </c>
      <c r="Z10" s="12" t="n">
        <v>10808</v>
      </c>
      <c r="AA10" s="12" t="n">
        <v>1273</v>
      </c>
      <c r="AB10" s="12" t="n">
        <v>3723</v>
      </c>
      <c r="AC10" s="12" t="n">
        <v>372</v>
      </c>
      <c r="AD10" s="12" t="n">
        <v>3351</v>
      </c>
    </row>
    <row r="11" customFormat="false" ht="15.75" hidden="false" customHeight="false" outlineLevel="0" collapsed="false">
      <c r="A11" s="4" t="n">
        <v>45818</v>
      </c>
      <c r="B11" s="51" t="n">
        <v>1480.0799995</v>
      </c>
      <c r="C11" s="51" t="n">
        <v>218.48399993</v>
      </c>
      <c r="D11" s="13" t="n">
        <f aca="false">W12-W11</f>
        <v>57</v>
      </c>
      <c r="E11" s="13" t="n">
        <f aca="false">D11*0.13</f>
        <v>7.41</v>
      </c>
      <c r="F11" s="13" t="n">
        <f aca="false">X12-X11</f>
        <v>83</v>
      </c>
      <c r="G11" s="13" t="n">
        <f aca="false">F11*0.13</f>
        <v>10.79</v>
      </c>
      <c r="H11" s="38" t="n">
        <v>118</v>
      </c>
      <c r="I11" s="13" t="n">
        <v>39.3333333333333</v>
      </c>
      <c r="J11" s="19" t="n">
        <v>36</v>
      </c>
      <c r="K11" s="12" t="n">
        <v>12</v>
      </c>
      <c r="L11" s="38" t="n">
        <v>30</v>
      </c>
      <c r="M11" s="38" t="n">
        <v>10</v>
      </c>
      <c r="N11" s="38" t="n">
        <v>257.42399933</v>
      </c>
      <c r="O11" s="13" t="n">
        <v>57.26399989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8</v>
      </c>
      <c r="T11" s="12"/>
      <c r="V11" s="20" t="n">
        <f aca="false">V10+1</f>
        <v>9</v>
      </c>
      <c r="W11" s="12" t="n">
        <v>6845</v>
      </c>
      <c r="X11" s="12" t="n">
        <v>8607</v>
      </c>
      <c r="Y11" s="12" t="n">
        <v>9299</v>
      </c>
      <c r="Z11" s="12" t="n">
        <v>10809</v>
      </c>
      <c r="AA11" s="12" t="n">
        <v>1273</v>
      </c>
      <c r="AB11" s="12" t="n">
        <v>3726</v>
      </c>
      <c r="AC11" s="12" t="n">
        <v>373</v>
      </c>
      <c r="AD11" s="12" t="n">
        <v>3351</v>
      </c>
    </row>
    <row r="12" customFormat="false" ht="15.75" hidden="false" customHeight="false" outlineLevel="0" collapsed="false">
      <c r="A12" s="4" t="n">
        <v>45819</v>
      </c>
      <c r="B12" s="51" t="n">
        <v>1338.11999946</v>
      </c>
      <c r="C12" s="51" t="n">
        <v>196.81199991</v>
      </c>
      <c r="D12" s="13" t="n">
        <f aca="false">W13-W12</f>
        <v>15</v>
      </c>
      <c r="E12" s="13" t="n">
        <f aca="false">D12*0.13</f>
        <v>1.95</v>
      </c>
      <c r="F12" s="13" t="n">
        <f aca="false">X13-X12</f>
        <v>20</v>
      </c>
      <c r="G12" s="13" t="n">
        <f aca="false">F12*0.13</f>
        <v>2.6</v>
      </c>
      <c r="H12" s="38" t="n">
        <v>118</v>
      </c>
      <c r="I12" s="13" t="n">
        <v>39.3333333333333</v>
      </c>
      <c r="J12" s="19" t="n">
        <v>36</v>
      </c>
      <c r="K12" s="12" t="n">
        <v>12</v>
      </c>
      <c r="L12" s="38" t="n">
        <v>30</v>
      </c>
      <c r="M12" s="38" t="n">
        <v>10</v>
      </c>
      <c r="N12" s="38" t="n">
        <v>234.59999938</v>
      </c>
      <c r="O12" s="13" t="n">
        <v>53.85599991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1</v>
      </c>
      <c r="T12" s="12"/>
      <c r="V12" s="20" t="n">
        <f aca="false">V11+1</f>
        <v>10</v>
      </c>
      <c r="W12" s="12" t="n">
        <v>6902</v>
      </c>
      <c r="X12" s="12" t="n">
        <v>8690</v>
      </c>
      <c r="Y12" s="12" t="n">
        <v>9302</v>
      </c>
      <c r="Z12" s="12" t="n">
        <v>10810</v>
      </c>
      <c r="AA12" s="12" t="n">
        <v>1273</v>
      </c>
      <c r="AB12" s="12" t="n">
        <v>3733</v>
      </c>
      <c r="AC12" s="12" t="n">
        <v>373</v>
      </c>
      <c r="AD12" s="12" t="n">
        <v>3359</v>
      </c>
    </row>
    <row r="13" customFormat="false" ht="15.75" hidden="false" customHeight="false" outlineLevel="0" collapsed="false">
      <c r="A13" s="4" t="n">
        <v>45820</v>
      </c>
      <c r="B13" s="13" t="n">
        <v>1172.72399954</v>
      </c>
      <c r="C13" s="13" t="n">
        <v>182.99399991</v>
      </c>
      <c r="D13" s="13" t="n">
        <f aca="false">W14-W13</f>
        <v>112</v>
      </c>
      <c r="E13" s="13" t="n">
        <f aca="false">D13*0.13</f>
        <v>14.56</v>
      </c>
      <c r="F13" s="13" t="n">
        <f aca="false">X14-X13</f>
        <v>109</v>
      </c>
      <c r="G13" s="13" t="n">
        <f aca="false">F13*0.13</f>
        <v>14.17</v>
      </c>
      <c r="H13" s="38" t="n">
        <v>118</v>
      </c>
      <c r="I13" s="13" t="n">
        <v>39.3333333333333</v>
      </c>
      <c r="J13" s="19" t="n">
        <v>36</v>
      </c>
      <c r="K13" s="12" t="n">
        <v>12</v>
      </c>
      <c r="L13" s="38" t="n">
        <v>30</v>
      </c>
      <c r="M13" s="38" t="n">
        <v>10</v>
      </c>
      <c r="N13" s="38" t="n">
        <v>218.42399931</v>
      </c>
      <c r="O13" s="13" t="n">
        <v>59.23199989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4</v>
      </c>
      <c r="T13" s="12"/>
      <c r="V13" s="20" t="n">
        <f aca="false">V12+1</f>
        <v>11</v>
      </c>
      <c r="W13" s="12" t="n">
        <v>6917</v>
      </c>
      <c r="X13" s="12" t="n">
        <v>8710</v>
      </c>
      <c r="Y13" s="12" t="n">
        <v>9309</v>
      </c>
      <c r="Z13" s="12" t="n">
        <v>10811</v>
      </c>
      <c r="AA13" s="12" t="n">
        <v>1274</v>
      </c>
      <c r="AB13" s="12" t="n">
        <v>3734</v>
      </c>
      <c r="AC13" s="12" t="n">
        <v>373</v>
      </c>
      <c r="AD13" s="12" t="n">
        <v>3360</v>
      </c>
    </row>
    <row r="14" customFormat="false" ht="15.75" hidden="false" customHeight="false" outlineLevel="0" collapsed="false">
      <c r="A14" s="4" t="n">
        <v>45821</v>
      </c>
      <c r="B14" s="13" t="n">
        <v>1072.59599956</v>
      </c>
      <c r="C14" s="13" t="n">
        <v>179.17199995</v>
      </c>
      <c r="D14" s="13" t="n">
        <f aca="false">W15-W14</f>
        <v>65</v>
      </c>
      <c r="E14" s="13" t="n">
        <f aca="false">D14*0.13</f>
        <v>8.45</v>
      </c>
      <c r="F14" s="13" t="n">
        <f aca="false">X15-X14</f>
        <v>95</v>
      </c>
      <c r="G14" s="13" t="n">
        <f aca="false">F14*0.13</f>
        <v>12.35</v>
      </c>
      <c r="H14" s="38" t="n">
        <v>118</v>
      </c>
      <c r="I14" s="13" t="n">
        <v>39.3333333333333</v>
      </c>
      <c r="J14" s="19" t="n">
        <v>36</v>
      </c>
      <c r="K14" s="12" t="n">
        <v>12</v>
      </c>
      <c r="L14" s="38" t="n">
        <v>30</v>
      </c>
      <c r="M14" s="38" t="n">
        <v>10</v>
      </c>
      <c r="N14" s="38" t="n">
        <v>236.8799994</v>
      </c>
      <c r="O14" s="13" t="n">
        <v>49.91999992</v>
      </c>
      <c r="P14" s="19" t="n">
        <f aca="false">AC15-AC14</f>
        <v>2</v>
      </c>
      <c r="Q14" s="12" t="n">
        <v>0</v>
      </c>
      <c r="R14" s="12" t="n">
        <v>0</v>
      </c>
      <c r="S14" s="19" t="n">
        <f aca="false">AD15-AD14</f>
        <v>7</v>
      </c>
      <c r="T14" s="12"/>
      <c r="V14" s="20" t="n">
        <f aca="false">V13+1</f>
        <v>12</v>
      </c>
      <c r="W14" s="12" t="n">
        <v>7029</v>
      </c>
      <c r="X14" s="12" t="n">
        <v>8819</v>
      </c>
      <c r="Y14" s="12" t="n">
        <v>9312</v>
      </c>
      <c r="Z14" s="12" t="n">
        <v>10811</v>
      </c>
      <c r="AA14" s="12" t="n">
        <v>1274</v>
      </c>
      <c r="AB14" s="12" t="n">
        <v>3738</v>
      </c>
      <c r="AC14" s="12" t="n">
        <v>374</v>
      </c>
      <c r="AD14" s="12" t="n">
        <v>3364</v>
      </c>
    </row>
    <row r="15" customFormat="false" ht="15.75" hidden="false" customHeight="false" outlineLevel="0" collapsed="false">
      <c r="A15" s="4" t="n">
        <v>45822</v>
      </c>
      <c r="B15" s="13" t="n">
        <v>954.02999947</v>
      </c>
      <c r="C15" s="13" t="n">
        <v>150.77999991</v>
      </c>
      <c r="D15" s="13" t="n">
        <f aca="false">W16-W15</f>
        <v>0</v>
      </c>
      <c r="E15" s="13" t="n">
        <f aca="false">D15*0.13</f>
        <v>0</v>
      </c>
      <c r="F15" s="13" t="n">
        <f aca="false">X16-X15</f>
        <v>0</v>
      </c>
      <c r="G15" s="13" t="n">
        <f aca="false">F15*0.13</f>
        <v>0</v>
      </c>
      <c r="H15" s="38" t="n">
        <v>118</v>
      </c>
      <c r="I15" s="13" t="n">
        <v>39.3333333333333</v>
      </c>
      <c r="J15" s="19" t="n">
        <v>36</v>
      </c>
      <c r="K15" s="12" t="n">
        <v>12</v>
      </c>
      <c r="L15" s="38" t="n">
        <v>30</v>
      </c>
      <c r="M15" s="38" t="n">
        <v>10</v>
      </c>
      <c r="N15" s="38" t="n">
        <v>249.38399934</v>
      </c>
      <c r="O15" s="13" t="n">
        <v>56.92799989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V15" s="20" t="n">
        <f aca="false">V14+1</f>
        <v>13</v>
      </c>
      <c r="W15" s="12" t="n">
        <v>7094</v>
      </c>
      <c r="X15" s="12" t="n">
        <v>8914</v>
      </c>
      <c r="Y15" s="12" t="n">
        <v>9318</v>
      </c>
      <c r="Z15" s="12" t="n">
        <v>10812</v>
      </c>
      <c r="AA15" s="12" t="n">
        <v>1275</v>
      </c>
      <c r="AB15" s="12" t="n">
        <v>3747</v>
      </c>
      <c r="AC15" s="12" t="n">
        <v>376</v>
      </c>
      <c r="AD15" s="12" t="n">
        <v>3371</v>
      </c>
    </row>
    <row r="16" customFormat="false" ht="15.75" hidden="false" customHeight="false" outlineLevel="0" collapsed="false">
      <c r="A16" s="4" t="n">
        <v>45823</v>
      </c>
      <c r="B16" s="13" t="n">
        <v>836.55599951</v>
      </c>
      <c r="C16" s="13" t="n">
        <v>164.80799993</v>
      </c>
      <c r="D16" s="13" t="n">
        <f aca="false">W17-W16</f>
        <v>43</v>
      </c>
      <c r="E16" s="13" t="n">
        <f aca="false">D16*0.13</f>
        <v>5.59</v>
      </c>
      <c r="F16" s="13" t="n">
        <f aca="false">X17-X16</f>
        <v>44</v>
      </c>
      <c r="G16" s="13" t="n">
        <f aca="false">F16*0.13</f>
        <v>5.72</v>
      </c>
      <c r="H16" s="38" t="n">
        <v>118</v>
      </c>
      <c r="I16" s="13" t="n">
        <v>39.3333333333333</v>
      </c>
      <c r="J16" s="19" t="n">
        <v>36</v>
      </c>
      <c r="K16" s="12" t="n">
        <v>12</v>
      </c>
      <c r="L16" s="38" t="n">
        <v>30</v>
      </c>
      <c r="M16" s="38" t="n">
        <v>10</v>
      </c>
      <c r="N16" s="38" t="n">
        <v>245.54399936</v>
      </c>
      <c r="O16" s="13" t="n">
        <v>48.69599991</v>
      </c>
      <c r="P16" s="19" t="n">
        <f aca="false">AC17-AC16</f>
        <v>0</v>
      </c>
      <c r="Q16" s="12" t="n">
        <v>0</v>
      </c>
      <c r="R16" s="12" t="n">
        <v>0</v>
      </c>
      <c r="S16" s="19" t="n">
        <f aca="false">AD17-AD16</f>
        <v>4</v>
      </c>
      <c r="T16" s="12"/>
      <c r="V16" s="20" t="n">
        <f aca="false">V15+1</f>
        <v>14</v>
      </c>
      <c r="W16" s="12" t="n">
        <v>7094</v>
      </c>
      <c r="X16" s="12" t="n">
        <v>8914</v>
      </c>
      <c r="Y16" s="12" t="n">
        <v>9318</v>
      </c>
      <c r="Z16" s="12" t="n">
        <v>10812</v>
      </c>
      <c r="AA16" s="12" t="n">
        <v>1275</v>
      </c>
      <c r="AB16" s="12" t="n">
        <v>3747</v>
      </c>
      <c r="AC16" s="12" t="n">
        <v>376</v>
      </c>
      <c r="AD16" s="12" t="n">
        <v>3371</v>
      </c>
      <c r="AF16" s="47"/>
    </row>
    <row r="17" customFormat="false" ht="15.75" hidden="false" customHeight="false" outlineLevel="0" collapsed="false">
      <c r="A17" s="4" t="n">
        <v>45824</v>
      </c>
      <c r="B17" s="13" t="n">
        <v>1224.42599955</v>
      </c>
      <c r="C17" s="13" t="n">
        <v>204.11999994</v>
      </c>
      <c r="D17" s="13" t="n">
        <f aca="false">W18-W17</f>
        <v>5</v>
      </c>
      <c r="E17" s="13" t="n">
        <f aca="false">D17*0.13</f>
        <v>0.65</v>
      </c>
      <c r="F17" s="13" t="n">
        <f aca="false">X18-X17</f>
        <v>20</v>
      </c>
      <c r="G17" s="13" t="n">
        <f aca="false">F17*0.13</f>
        <v>2.6</v>
      </c>
      <c r="H17" s="38" t="n">
        <v>118</v>
      </c>
      <c r="I17" s="13" t="n">
        <v>39.3333333333333</v>
      </c>
      <c r="J17" s="19" t="n">
        <v>36</v>
      </c>
      <c r="K17" s="12" t="n">
        <v>12</v>
      </c>
      <c r="L17" s="38" t="n">
        <v>30</v>
      </c>
      <c r="M17" s="38" t="n">
        <v>10</v>
      </c>
      <c r="N17" s="38" t="n">
        <v>238.60799945</v>
      </c>
      <c r="O17" s="13" t="n">
        <v>61.10399992</v>
      </c>
      <c r="P17" s="19" t="n">
        <f aca="false">AC18-AC17</f>
        <v>3</v>
      </c>
      <c r="Q17" s="12" t="n">
        <v>0</v>
      </c>
      <c r="R17" s="12" t="n">
        <v>0</v>
      </c>
      <c r="S17" s="19" t="n">
        <f aca="false">AD18-AD17</f>
        <v>4</v>
      </c>
      <c r="T17" s="12"/>
      <c r="V17" s="20" t="n">
        <f aca="false">V16+1</f>
        <v>15</v>
      </c>
      <c r="W17" s="12" t="n">
        <v>7137</v>
      </c>
      <c r="X17" s="12" t="n">
        <v>8958</v>
      </c>
      <c r="Y17" s="12" t="n">
        <v>9322</v>
      </c>
      <c r="Z17" s="12" t="n">
        <v>10813</v>
      </c>
      <c r="AA17" s="12" t="n">
        <v>1275</v>
      </c>
      <c r="AB17" s="12" t="n">
        <v>3751</v>
      </c>
      <c r="AC17" s="12" t="n">
        <v>376</v>
      </c>
      <c r="AD17" s="12" t="n">
        <v>3375</v>
      </c>
    </row>
    <row r="18" customFormat="false" ht="15.75" hidden="false" customHeight="false" outlineLevel="0" collapsed="false">
      <c r="A18" s="4" t="n">
        <v>45825</v>
      </c>
      <c r="B18" s="13" t="n">
        <v>1213.67399951</v>
      </c>
      <c r="C18" s="13" t="n">
        <v>181.4819999</v>
      </c>
      <c r="D18" s="13" t="n">
        <f aca="false">W19-W18</f>
        <v>50</v>
      </c>
      <c r="E18" s="13" t="n">
        <f aca="false">D18*0.13</f>
        <v>6.5</v>
      </c>
      <c r="F18" s="13" t="n">
        <f aca="false">X19-X18</f>
        <v>32</v>
      </c>
      <c r="G18" s="13" t="n">
        <f aca="false">F18*0.13</f>
        <v>4.16</v>
      </c>
      <c r="H18" s="38" t="n">
        <v>118</v>
      </c>
      <c r="I18" s="13" t="n">
        <v>39.3333333333333</v>
      </c>
      <c r="J18" s="19" t="n">
        <v>36</v>
      </c>
      <c r="K18" s="12" t="n">
        <v>12</v>
      </c>
      <c r="L18" s="38" t="n">
        <v>30</v>
      </c>
      <c r="M18" s="38" t="n">
        <v>10</v>
      </c>
      <c r="N18" s="38" t="n">
        <v>280.77599931</v>
      </c>
      <c r="O18" s="13" t="n">
        <v>58.4399999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2</v>
      </c>
      <c r="T18" s="12"/>
      <c r="V18" s="20" t="n">
        <f aca="false">V17+1</f>
        <v>16</v>
      </c>
      <c r="W18" s="12" t="n">
        <v>7142</v>
      </c>
      <c r="X18" s="12" t="n">
        <v>8978</v>
      </c>
      <c r="Y18" s="12" t="n">
        <v>9323</v>
      </c>
      <c r="Z18" s="12" t="n">
        <v>10813</v>
      </c>
      <c r="AA18" s="12" t="n">
        <v>1275</v>
      </c>
      <c r="AB18" s="12" t="n">
        <v>3755</v>
      </c>
      <c r="AC18" s="12" t="n">
        <v>379</v>
      </c>
      <c r="AD18" s="12" t="n">
        <v>3379</v>
      </c>
    </row>
    <row r="19" customFormat="false" ht="15.75" hidden="false" customHeight="false" outlineLevel="0" collapsed="false">
      <c r="A19" s="4" t="n">
        <v>45826</v>
      </c>
      <c r="B19" s="13" t="n">
        <v>1310.27399954</v>
      </c>
      <c r="C19" s="13" t="n">
        <v>180.97799992</v>
      </c>
      <c r="D19" s="13" t="n">
        <f aca="false">W20-W19</f>
        <v>134</v>
      </c>
      <c r="E19" s="13" t="n">
        <f aca="false">D19*0.13</f>
        <v>17.42</v>
      </c>
      <c r="F19" s="13" t="n">
        <f aca="false">X20-X19</f>
        <v>110</v>
      </c>
      <c r="G19" s="13" t="n">
        <f aca="false">F19*0.13</f>
        <v>14.3</v>
      </c>
      <c r="H19" s="38" t="n">
        <v>118</v>
      </c>
      <c r="I19" s="13" t="n">
        <v>39.3333333333333</v>
      </c>
      <c r="J19" s="19" t="n">
        <v>36</v>
      </c>
      <c r="K19" s="12" t="n">
        <v>12</v>
      </c>
      <c r="L19" s="38" t="n">
        <v>30</v>
      </c>
      <c r="M19" s="38" t="n">
        <v>10</v>
      </c>
      <c r="N19" s="38" t="n">
        <v>266.35199934</v>
      </c>
      <c r="O19" s="13" t="n">
        <v>61.58399988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12</v>
      </c>
      <c r="T19" s="12"/>
      <c r="U19" s="23"/>
      <c r="V19" s="20" t="n">
        <f aca="false">V18+1</f>
        <v>17</v>
      </c>
      <c r="W19" s="12" t="n">
        <v>7192</v>
      </c>
      <c r="X19" s="12" t="n">
        <v>9010</v>
      </c>
      <c r="Y19" s="12" t="n">
        <v>9328</v>
      </c>
      <c r="Z19" s="12" t="n">
        <v>10815</v>
      </c>
      <c r="AA19" s="12" t="n">
        <v>1275</v>
      </c>
      <c r="AB19" s="12" t="n">
        <v>3757</v>
      </c>
      <c r="AC19" s="12" t="n">
        <v>379</v>
      </c>
      <c r="AD19" s="12" t="n">
        <v>3381</v>
      </c>
    </row>
    <row r="20" customFormat="false" ht="15.75" hidden="false" customHeight="false" outlineLevel="0" collapsed="false">
      <c r="A20" s="4" t="n">
        <v>45827</v>
      </c>
      <c r="B20" s="13" t="n">
        <v>911.56799947</v>
      </c>
      <c r="C20" s="13" t="n">
        <v>168.5039999</v>
      </c>
      <c r="D20" s="13" t="n">
        <f aca="false">W21-W20</f>
        <v>0</v>
      </c>
      <c r="E20" s="13" t="n">
        <f aca="false">D20*0.13</f>
        <v>0</v>
      </c>
      <c r="F20" s="13" t="n">
        <f aca="false">X21-X20</f>
        <v>0</v>
      </c>
      <c r="G20" s="13" t="n">
        <f aca="false">F20*0.13</f>
        <v>0</v>
      </c>
      <c r="H20" s="38" t="n">
        <v>118</v>
      </c>
      <c r="I20" s="13" t="n">
        <v>39.3333333333333</v>
      </c>
      <c r="J20" s="19" t="n">
        <v>36</v>
      </c>
      <c r="K20" s="12" t="n">
        <v>12</v>
      </c>
      <c r="L20" s="38" t="n">
        <v>30</v>
      </c>
      <c r="M20" s="38" t="n">
        <v>10</v>
      </c>
      <c r="N20" s="38" t="n">
        <v>306.4799994</v>
      </c>
      <c r="O20" s="13" t="n">
        <v>57.95999991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V20" s="20" t="n">
        <f aca="false">V19+1</f>
        <v>18</v>
      </c>
      <c r="W20" s="12" t="n">
        <v>7326</v>
      </c>
      <c r="X20" s="12" t="n">
        <v>9120</v>
      </c>
      <c r="Y20" s="12" t="n">
        <v>9339</v>
      </c>
      <c r="Z20" s="12" t="n">
        <v>10815</v>
      </c>
      <c r="AA20" s="12" t="n">
        <v>1275</v>
      </c>
      <c r="AB20" s="12" t="n">
        <v>3771</v>
      </c>
      <c r="AC20" s="12" t="n">
        <v>379</v>
      </c>
      <c r="AD20" s="12" t="n">
        <v>3393</v>
      </c>
    </row>
    <row r="21" customFormat="false" ht="15.75" hidden="false" customHeight="false" outlineLevel="0" collapsed="false">
      <c r="A21" s="4" t="n">
        <v>45828</v>
      </c>
      <c r="B21" s="13" t="n">
        <v>996.323999449999</v>
      </c>
      <c r="C21" s="13" t="n">
        <v>166.10999993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38" t="n">
        <v>118</v>
      </c>
      <c r="I21" s="13" t="n">
        <v>39.3333333333333</v>
      </c>
      <c r="J21" s="19" t="n">
        <v>36</v>
      </c>
      <c r="K21" s="12" t="n">
        <v>12</v>
      </c>
      <c r="L21" s="38" t="n">
        <v>30</v>
      </c>
      <c r="M21" s="38" t="n">
        <v>10</v>
      </c>
      <c r="N21" s="38" t="n">
        <v>307.53599939</v>
      </c>
      <c r="O21" s="13" t="n">
        <v>62.83199988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V21" s="20" t="n">
        <f aca="false">V20+1</f>
        <v>19</v>
      </c>
      <c r="W21" s="12" t="n">
        <v>7326</v>
      </c>
      <c r="X21" s="12" t="n">
        <v>9120</v>
      </c>
      <c r="Y21" s="12" t="n">
        <v>9339</v>
      </c>
      <c r="Z21" s="12" t="n">
        <v>10815</v>
      </c>
      <c r="AA21" s="12" t="n">
        <v>1275</v>
      </c>
      <c r="AB21" s="12" t="n">
        <v>3771</v>
      </c>
      <c r="AC21" s="12" t="n">
        <v>379</v>
      </c>
      <c r="AD21" s="12" t="n">
        <v>3393</v>
      </c>
    </row>
    <row r="22" customFormat="false" ht="15.75" hidden="false" customHeight="false" outlineLevel="0" collapsed="false">
      <c r="A22" s="4" t="n">
        <v>45829</v>
      </c>
      <c r="B22" s="13" t="n">
        <v>1084.3979995</v>
      </c>
      <c r="C22" s="13" t="n">
        <v>182.44799993</v>
      </c>
      <c r="D22" s="13" t="n">
        <f aca="false">W23-W22</f>
        <v>20</v>
      </c>
      <c r="E22" s="13" t="n">
        <f aca="false">D22*0.13</f>
        <v>2.6</v>
      </c>
      <c r="F22" s="13" t="n">
        <f aca="false">X23-X22</f>
        <v>29</v>
      </c>
      <c r="G22" s="13" t="n">
        <f aca="false">F22*0.13</f>
        <v>3.77</v>
      </c>
      <c r="H22" s="38" t="n">
        <v>118</v>
      </c>
      <c r="I22" s="13" t="n">
        <v>39.3333333333333</v>
      </c>
      <c r="J22" s="19" t="n">
        <v>36</v>
      </c>
      <c r="K22" s="12" t="n">
        <v>12</v>
      </c>
      <c r="L22" s="38" t="n">
        <v>30</v>
      </c>
      <c r="M22" s="38" t="n">
        <v>10</v>
      </c>
      <c r="N22" s="38" t="n">
        <v>310.70399933</v>
      </c>
      <c r="O22" s="13" t="n">
        <v>61.22399989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4</v>
      </c>
      <c r="T22" s="12"/>
      <c r="V22" s="20" t="n">
        <f aca="false">V21+1</f>
        <v>20</v>
      </c>
      <c r="W22" s="12" t="n">
        <v>7326</v>
      </c>
      <c r="X22" s="12" t="n">
        <v>9120</v>
      </c>
      <c r="Y22" s="12" t="n">
        <v>9339</v>
      </c>
      <c r="Z22" s="12" t="n">
        <v>10815</v>
      </c>
      <c r="AA22" s="12" t="n">
        <v>1275</v>
      </c>
      <c r="AB22" s="12" t="n">
        <v>3771</v>
      </c>
      <c r="AC22" s="12" t="n">
        <v>379</v>
      </c>
      <c r="AD22" s="12" t="n">
        <v>3393</v>
      </c>
    </row>
    <row r="23" customFormat="false" ht="15.75" hidden="false" customHeight="false" outlineLevel="0" collapsed="false">
      <c r="A23" s="4" t="n">
        <v>45830</v>
      </c>
      <c r="B23" s="13" t="n">
        <v>909.04799958</v>
      </c>
      <c r="C23" s="13" t="n">
        <v>152.54399996</v>
      </c>
      <c r="D23" s="13" t="n">
        <f aca="false">W24-W23</f>
        <v>28</v>
      </c>
      <c r="E23" s="13" t="n">
        <f aca="false">D23*0.13</f>
        <v>3.64</v>
      </c>
      <c r="F23" s="13" t="n">
        <f aca="false">X24-X23</f>
        <v>55</v>
      </c>
      <c r="G23" s="13" t="n">
        <f aca="false">F23*0.13</f>
        <v>7.15</v>
      </c>
      <c r="H23" s="38" t="n">
        <v>118</v>
      </c>
      <c r="I23" s="13" t="n">
        <v>39.3333333333333</v>
      </c>
      <c r="J23" s="19" t="n">
        <v>36</v>
      </c>
      <c r="K23" s="12" t="n">
        <v>12</v>
      </c>
      <c r="L23" s="38" t="n">
        <v>30</v>
      </c>
      <c r="M23" s="38" t="n">
        <v>10</v>
      </c>
      <c r="N23" s="38" t="n">
        <v>306.81599928</v>
      </c>
      <c r="O23" s="13" t="n">
        <v>57.6959999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4</v>
      </c>
      <c r="T23" s="12"/>
      <c r="V23" s="20" t="n">
        <f aca="false">V22+1</f>
        <v>21</v>
      </c>
      <c r="W23" s="15" t="n">
        <v>7346</v>
      </c>
      <c r="X23" s="15" t="n">
        <v>9149</v>
      </c>
      <c r="Y23" s="15" t="n">
        <v>9342</v>
      </c>
      <c r="Z23" s="15" t="n">
        <v>10816</v>
      </c>
      <c r="AA23" s="15" t="n">
        <v>1275</v>
      </c>
      <c r="AB23" s="15" t="n">
        <v>3776</v>
      </c>
      <c r="AC23" s="15" t="n">
        <v>379</v>
      </c>
      <c r="AD23" s="15" t="n">
        <v>3397</v>
      </c>
    </row>
    <row r="24" customFormat="false" ht="15.75" hidden="false" customHeight="false" outlineLevel="0" collapsed="false">
      <c r="A24" s="4" t="n">
        <v>45831</v>
      </c>
      <c r="B24" s="13" t="n">
        <v>1544.9279995</v>
      </c>
      <c r="C24" s="13" t="n">
        <v>240.32399992</v>
      </c>
      <c r="D24" s="13" t="n">
        <f aca="false">W25-W24</f>
        <v>34</v>
      </c>
      <c r="E24" s="13" t="n">
        <f aca="false">D24*0.13</f>
        <v>4.42</v>
      </c>
      <c r="F24" s="13" t="n">
        <f aca="false">X25-X24</f>
        <v>56</v>
      </c>
      <c r="G24" s="13" t="n">
        <f aca="false">F24*0.13</f>
        <v>7.28</v>
      </c>
      <c r="H24" s="38" t="n">
        <v>118</v>
      </c>
      <c r="I24" s="13" t="n">
        <v>39.3333333333333</v>
      </c>
      <c r="J24" s="19" t="n">
        <v>36</v>
      </c>
      <c r="K24" s="12" t="n">
        <v>12</v>
      </c>
      <c r="L24" s="38" t="n">
        <v>30</v>
      </c>
      <c r="M24" s="38" t="n">
        <v>10</v>
      </c>
      <c r="N24" s="38" t="n">
        <v>275.32799935</v>
      </c>
      <c r="O24" s="13" t="n">
        <v>66.88799991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5</v>
      </c>
      <c r="T24" s="12"/>
      <c r="V24" s="20" t="n">
        <f aca="false">V23+1</f>
        <v>22</v>
      </c>
      <c r="W24" s="15" t="n">
        <v>7374</v>
      </c>
      <c r="X24" s="15" t="n">
        <v>9204</v>
      </c>
      <c r="Y24" s="15" t="n">
        <v>9345</v>
      </c>
      <c r="Z24" s="15" t="n">
        <v>10816</v>
      </c>
      <c r="AA24" s="15" t="n">
        <v>1275</v>
      </c>
      <c r="AB24" s="15" t="n">
        <v>3780</v>
      </c>
      <c r="AC24" s="15" t="n">
        <v>379</v>
      </c>
      <c r="AD24" s="15" t="n">
        <v>3401</v>
      </c>
    </row>
    <row r="25" customFormat="false" ht="15.75" hidden="false" customHeight="false" outlineLevel="0" collapsed="false">
      <c r="A25" s="4" t="n">
        <v>45832</v>
      </c>
      <c r="B25" s="13" t="n">
        <v>1439.96999949</v>
      </c>
      <c r="C25" s="13" t="n">
        <v>219.99599993</v>
      </c>
      <c r="D25" s="13" t="n">
        <f aca="false">W26-W25</f>
        <v>57</v>
      </c>
      <c r="E25" s="13" t="n">
        <f aca="false">D25*0.13</f>
        <v>7.41</v>
      </c>
      <c r="F25" s="13" t="n">
        <f aca="false">X26-X25</f>
        <v>67</v>
      </c>
      <c r="G25" s="13" t="n">
        <f aca="false">F25*0.13</f>
        <v>8.71</v>
      </c>
      <c r="H25" s="38" t="n">
        <v>118</v>
      </c>
      <c r="I25" s="13" t="n">
        <v>39.3333333333333</v>
      </c>
      <c r="J25" s="19" t="n">
        <v>36</v>
      </c>
      <c r="K25" s="12" t="n">
        <v>12</v>
      </c>
      <c r="L25" s="38" t="n">
        <v>30</v>
      </c>
      <c r="M25" s="38" t="n">
        <v>10</v>
      </c>
      <c r="N25" s="38" t="n">
        <v>248.49599942</v>
      </c>
      <c r="O25" s="13" t="n">
        <v>61.77599988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3</v>
      </c>
      <c r="T25" s="12"/>
      <c r="V25" s="20" t="n">
        <f aca="false">V24+1</f>
        <v>23</v>
      </c>
      <c r="W25" s="52" t="n">
        <v>7408</v>
      </c>
      <c r="X25" s="52" t="n">
        <v>9260</v>
      </c>
      <c r="Y25" s="52" t="n">
        <v>9349</v>
      </c>
      <c r="Z25" s="52" t="n">
        <v>10817</v>
      </c>
      <c r="AA25" s="52" t="n">
        <v>1275</v>
      </c>
      <c r="AB25" s="52" t="n">
        <v>3785</v>
      </c>
      <c r="AC25" s="52" t="n">
        <v>379</v>
      </c>
      <c r="AD25" s="52" t="n">
        <v>3406</v>
      </c>
    </row>
    <row r="26" customFormat="false" ht="15.75" hidden="false" customHeight="false" outlineLevel="0" collapsed="false">
      <c r="A26" s="4" t="n">
        <v>45833</v>
      </c>
      <c r="B26" s="13" t="n">
        <v>1284.73799946</v>
      </c>
      <c r="C26" s="13" t="n">
        <v>211.63799989</v>
      </c>
      <c r="D26" s="13" t="n">
        <f aca="false">W27-W26</f>
        <v>63</v>
      </c>
      <c r="E26" s="13" t="n">
        <f aca="false">D26*0.13</f>
        <v>8.19</v>
      </c>
      <c r="F26" s="13" t="n">
        <f aca="false">X27-X26</f>
        <v>70</v>
      </c>
      <c r="G26" s="13" t="n">
        <f aca="false">F26*0.13</f>
        <v>9.1</v>
      </c>
      <c r="H26" s="38" t="n">
        <v>118</v>
      </c>
      <c r="I26" s="13" t="n">
        <v>39.3333333333333</v>
      </c>
      <c r="J26" s="19" t="n">
        <v>36</v>
      </c>
      <c r="K26" s="12" t="n">
        <v>12</v>
      </c>
      <c r="L26" s="38" t="n">
        <v>30</v>
      </c>
      <c r="M26" s="38" t="n">
        <v>10</v>
      </c>
      <c r="N26" s="38" t="n">
        <v>265.36799934</v>
      </c>
      <c r="O26" s="13" t="n">
        <v>55.7039999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V26" s="53" t="n">
        <f aca="false">V25+1</f>
        <v>24</v>
      </c>
      <c r="W26" s="12" t="n">
        <v>7465</v>
      </c>
      <c r="X26" s="12" t="n">
        <v>9327</v>
      </c>
      <c r="Y26" s="12" t="n">
        <v>9351</v>
      </c>
      <c r="Z26" s="12" t="n">
        <v>10818</v>
      </c>
      <c r="AA26" s="12" t="n">
        <v>1275</v>
      </c>
      <c r="AB26" s="12" t="n">
        <v>3789</v>
      </c>
      <c r="AC26" s="12" t="n">
        <v>379</v>
      </c>
      <c r="AD26" s="12" t="n">
        <v>3409</v>
      </c>
    </row>
    <row r="27" customFormat="false" ht="15.75" hidden="false" customHeight="false" outlineLevel="0" collapsed="false">
      <c r="A27" s="4" t="n">
        <v>45834</v>
      </c>
      <c r="B27" s="13" t="n">
        <v>1338.58199951</v>
      </c>
      <c r="C27" s="13" t="n">
        <v>190.34399995</v>
      </c>
      <c r="D27" s="13" t="n">
        <f aca="false">W28-W27</f>
        <v>33</v>
      </c>
      <c r="E27" s="13" t="n">
        <f aca="false">D27*0.13</f>
        <v>4.29</v>
      </c>
      <c r="F27" s="13" t="n">
        <f aca="false">X28-X27</f>
        <v>34</v>
      </c>
      <c r="G27" s="13" t="n">
        <f aca="false">F27*0.13</f>
        <v>4.42</v>
      </c>
      <c r="H27" s="38" t="n">
        <v>118</v>
      </c>
      <c r="I27" s="13" t="n">
        <v>39.3333333333333</v>
      </c>
      <c r="J27" s="19" t="n">
        <v>36</v>
      </c>
      <c r="K27" s="12" t="n">
        <v>12</v>
      </c>
      <c r="L27" s="38" t="n">
        <v>30</v>
      </c>
      <c r="M27" s="38" t="n">
        <v>10</v>
      </c>
      <c r="N27" s="38" t="n">
        <v>246.43199938</v>
      </c>
      <c r="O27" s="13" t="n">
        <v>60.2639999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7</v>
      </c>
      <c r="T27" s="12"/>
      <c r="V27" s="20" t="n">
        <f aca="false">V26+1</f>
        <v>25</v>
      </c>
      <c r="W27" s="12" t="n">
        <v>7528</v>
      </c>
      <c r="X27" s="12" t="n">
        <v>9397</v>
      </c>
      <c r="Y27" s="12" t="n">
        <v>9355</v>
      </c>
      <c r="Z27" s="12" t="n">
        <v>10818</v>
      </c>
      <c r="AA27" s="12" t="n">
        <v>1275</v>
      </c>
      <c r="AB27" s="12" t="n">
        <v>3793</v>
      </c>
      <c r="AC27" s="12" t="n">
        <v>379</v>
      </c>
      <c r="AD27" s="12" t="n">
        <v>3409</v>
      </c>
    </row>
    <row r="28" customFormat="false" ht="15.75" hidden="false" customHeight="false" outlineLevel="0" collapsed="false">
      <c r="A28" s="4" t="n">
        <v>45835</v>
      </c>
      <c r="B28" s="13" t="n">
        <v>1159.19999951</v>
      </c>
      <c r="C28" s="13" t="n">
        <v>183.91799989</v>
      </c>
      <c r="D28" s="13" t="n">
        <f aca="false">W29-W28</f>
        <v>49</v>
      </c>
      <c r="E28" s="13" t="n">
        <f aca="false">D28*0.13</f>
        <v>6.37</v>
      </c>
      <c r="F28" s="13" t="n">
        <f aca="false">X29-X28</f>
        <v>28</v>
      </c>
      <c r="G28" s="13" t="n">
        <f aca="false">F28*0.13</f>
        <v>3.64</v>
      </c>
      <c r="H28" s="38" t="n">
        <v>118</v>
      </c>
      <c r="I28" s="13" t="n">
        <v>39.3333333333333</v>
      </c>
      <c r="J28" s="19" t="n">
        <v>36</v>
      </c>
      <c r="K28" s="12" t="n">
        <v>12</v>
      </c>
      <c r="L28" s="38" t="n">
        <v>30</v>
      </c>
      <c r="M28" s="38" t="n">
        <v>10</v>
      </c>
      <c r="N28" s="38" t="n">
        <v>249.74399932</v>
      </c>
      <c r="O28" s="13" t="n">
        <v>54.81599989</v>
      </c>
      <c r="P28" s="19" t="n">
        <f aca="false">AC29-AC28</f>
        <v>2</v>
      </c>
      <c r="Q28" s="12" t="n">
        <v>0</v>
      </c>
      <c r="R28" s="12" t="n">
        <v>0</v>
      </c>
      <c r="S28" s="19" t="n">
        <f aca="false">AD29-AD28</f>
        <v>3</v>
      </c>
      <c r="T28" s="12"/>
      <c r="V28" s="24" t="n">
        <f aca="false">V27+1</f>
        <v>26</v>
      </c>
      <c r="W28" s="25" t="n">
        <v>7561</v>
      </c>
      <c r="X28" s="25" t="n">
        <v>9431</v>
      </c>
      <c r="Y28" s="25" t="n">
        <v>9359</v>
      </c>
      <c r="Z28" s="25" t="n">
        <v>10819</v>
      </c>
      <c r="AA28" s="25" t="n">
        <v>1276</v>
      </c>
      <c r="AB28" s="25" t="n">
        <v>3797</v>
      </c>
      <c r="AC28" s="12" t="n">
        <v>379</v>
      </c>
      <c r="AD28" s="25" t="n">
        <v>3416</v>
      </c>
    </row>
    <row r="29" customFormat="false" ht="15.75" hidden="false" customHeight="false" outlineLevel="0" collapsed="false">
      <c r="A29" s="4" t="n">
        <v>45836</v>
      </c>
      <c r="B29" s="13" t="n">
        <v>937.56599946</v>
      </c>
      <c r="C29" s="13" t="n">
        <v>152.66999991</v>
      </c>
      <c r="D29" s="13" t="n">
        <f aca="false">W30-W29</f>
        <v>58</v>
      </c>
      <c r="E29" s="13" t="n">
        <f aca="false">D29*0.13</f>
        <v>7.54</v>
      </c>
      <c r="F29" s="13" t="n">
        <f aca="false">X30-X29</f>
        <v>46</v>
      </c>
      <c r="G29" s="13" t="n">
        <f aca="false">F29*0.13</f>
        <v>5.98</v>
      </c>
      <c r="H29" s="38" t="n">
        <v>118</v>
      </c>
      <c r="I29" s="13" t="n">
        <v>39.3333333333333</v>
      </c>
      <c r="J29" s="19" t="n">
        <v>36</v>
      </c>
      <c r="K29" s="12" t="n">
        <v>12</v>
      </c>
      <c r="L29" s="38" t="n">
        <v>30</v>
      </c>
      <c r="M29" s="38" t="n">
        <v>10</v>
      </c>
      <c r="N29" s="38" t="n">
        <v>273.47999939</v>
      </c>
      <c r="O29" s="13" t="n">
        <v>64.19999991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1</v>
      </c>
      <c r="T29" s="12"/>
      <c r="V29" s="24" t="n">
        <f aca="false">V28+1</f>
        <v>27</v>
      </c>
      <c r="W29" s="21" t="n">
        <v>7610</v>
      </c>
      <c r="X29" s="21" t="n">
        <v>9459</v>
      </c>
      <c r="Y29" s="21" t="n">
        <v>9359</v>
      </c>
      <c r="Z29" s="21" t="n">
        <v>10819</v>
      </c>
      <c r="AA29" s="21" t="n">
        <v>1276</v>
      </c>
      <c r="AB29" s="21" t="n">
        <v>3801</v>
      </c>
      <c r="AC29" s="21" t="n">
        <v>381</v>
      </c>
      <c r="AD29" s="21" t="n">
        <v>3419</v>
      </c>
    </row>
    <row r="30" customFormat="false" ht="15.75" hidden="false" customHeight="false" outlineLevel="0" collapsed="false">
      <c r="A30" s="4" t="n">
        <v>45837</v>
      </c>
      <c r="B30" s="13" t="n">
        <v>928.78799945</v>
      </c>
      <c r="C30" s="13" t="n">
        <v>166.78199989</v>
      </c>
      <c r="D30" s="13" t="n">
        <f aca="false">W31-W30</f>
        <v>13</v>
      </c>
      <c r="E30" s="13" t="n">
        <f aca="false">D30*0.13</f>
        <v>1.69</v>
      </c>
      <c r="F30" s="13" t="n">
        <f aca="false">X31-X30</f>
        <v>52</v>
      </c>
      <c r="G30" s="13" t="n">
        <f aca="false">F30*0.13</f>
        <v>6.76</v>
      </c>
      <c r="H30" s="38" t="n">
        <v>118</v>
      </c>
      <c r="I30" s="13" t="n">
        <v>39.3333333333333</v>
      </c>
      <c r="J30" s="19" t="n">
        <v>36</v>
      </c>
      <c r="K30" s="12" t="n">
        <v>12</v>
      </c>
      <c r="L30" s="38" t="n">
        <v>30</v>
      </c>
      <c r="M30" s="38" t="n">
        <v>10</v>
      </c>
      <c r="N30" s="38" t="n">
        <v>291.28799945</v>
      </c>
      <c r="O30" s="13" t="n">
        <v>59.90399989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7</v>
      </c>
      <c r="T30" s="12"/>
      <c r="V30" s="24" t="n">
        <f aca="false">V29+1</f>
        <v>28</v>
      </c>
      <c r="W30" s="21" t="n">
        <v>7668</v>
      </c>
      <c r="X30" s="21" t="n">
        <v>9505</v>
      </c>
      <c r="Y30" s="21" t="n">
        <v>9364</v>
      </c>
      <c r="Z30" s="21" t="n">
        <v>10820</v>
      </c>
      <c r="AA30" s="21" t="n">
        <v>1276</v>
      </c>
      <c r="AB30" s="21" t="n">
        <v>3801</v>
      </c>
      <c r="AC30" s="21" t="n">
        <v>381</v>
      </c>
      <c r="AD30" s="21" t="n">
        <v>3420</v>
      </c>
    </row>
    <row r="31" customFormat="false" ht="15.75" hidden="false" customHeight="false" outlineLevel="0" collapsed="false">
      <c r="A31" s="4" t="n">
        <v>45838</v>
      </c>
      <c r="B31" s="13" t="n">
        <v>1388.72999954</v>
      </c>
      <c r="C31" s="13" t="n">
        <v>196.76999993</v>
      </c>
      <c r="D31" s="13" t="n">
        <f aca="false">W32-W31</f>
        <v>34</v>
      </c>
      <c r="E31" s="13" t="n">
        <f aca="false">D31*0.13</f>
        <v>4.42</v>
      </c>
      <c r="F31" s="13" t="n">
        <f aca="false">X32-X31</f>
        <v>63</v>
      </c>
      <c r="G31" s="13" t="n">
        <f aca="false">F31*0.13</f>
        <v>8.19</v>
      </c>
      <c r="H31" s="38" t="n">
        <v>118</v>
      </c>
      <c r="I31" s="13" t="n">
        <v>39.3333333333333</v>
      </c>
      <c r="J31" s="19" t="n">
        <v>36</v>
      </c>
      <c r="K31" s="12" t="n">
        <v>12</v>
      </c>
      <c r="L31" s="38" t="n">
        <v>30</v>
      </c>
      <c r="M31" s="38" t="n">
        <v>10</v>
      </c>
      <c r="N31" s="38" t="n">
        <v>236.15999939</v>
      </c>
      <c r="O31" s="13" t="n">
        <v>52.03199991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2</v>
      </c>
      <c r="T31" s="12"/>
      <c r="V31" s="24" t="n">
        <f aca="false">V30+1</f>
        <v>29</v>
      </c>
      <c r="W31" s="21" t="n">
        <v>7681</v>
      </c>
      <c r="X31" s="21" t="n">
        <v>9557</v>
      </c>
      <c r="Y31" s="21" t="n">
        <v>9368</v>
      </c>
      <c r="Z31" s="21" t="n">
        <v>10821</v>
      </c>
      <c r="AA31" s="21" t="n">
        <v>1276</v>
      </c>
      <c r="AB31" s="21" t="n">
        <v>3809</v>
      </c>
      <c r="AC31" s="21" t="n">
        <v>382</v>
      </c>
      <c r="AD31" s="21" t="n">
        <v>3427</v>
      </c>
    </row>
    <row r="32" customFormat="false" ht="15.75" hidden="false" customHeight="false" outlineLevel="0" collapsed="false">
      <c r="D32" s="54"/>
      <c r="E32" s="54"/>
      <c r="F32" s="54"/>
      <c r="G32" s="54"/>
      <c r="T32" s="37"/>
      <c r="V32" s="24" t="n">
        <f aca="false">V31+1</f>
        <v>30</v>
      </c>
      <c r="W32" s="21" t="n">
        <v>7715</v>
      </c>
      <c r="X32" s="21" t="n">
        <v>9620</v>
      </c>
      <c r="Y32" s="21" t="n">
        <v>9372</v>
      </c>
      <c r="Z32" s="21" t="n">
        <v>10821</v>
      </c>
      <c r="AA32" s="21" t="n">
        <v>1276</v>
      </c>
      <c r="AB32" s="21" t="n">
        <v>3811</v>
      </c>
      <c r="AC32" s="21" t="n">
        <v>382</v>
      </c>
      <c r="AD32" s="21" t="n">
        <v>3429</v>
      </c>
    </row>
    <row r="33" customFormat="false" ht="15.75" hidden="false" customHeight="false" outlineLevel="0" collapsed="false">
      <c r="W33" s="21"/>
      <c r="X33" s="21"/>
      <c r="Y33" s="21"/>
      <c r="Z33" s="21"/>
      <c r="AA33" s="21"/>
      <c r="AB33" s="21"/>
      <c r="AC33" s="21"/>
      <c r="AD33" s="21"/>
    </row>
    <row r="35" customFormat="false" ht="12.75" hidden="false" customHeight="false" outlineLevel="0" collapsed="false">
      <c r="A35" s="28"/>
      <c r="B35" s="28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V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customFormat="false" ht="12.75" hidden="false" customHeight="false" outlineLevel="0" collapsed="false">
      <c r="A71" s="28"/>
      <c r="B71" s="28"/>
      <c r="C71" s="28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</row>
    <row r="76" customFormat="false" ht="12.75" hidden="false" customHeight="false" outlineLevel="0" collapsed="false">
      <c r="A76" s="28"/>
      <c r="B76" s="28"/>
      <c r="C76" s="28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customFormat="false" ht="12.75" hidden="false" customHeight="false" outlineLevel="0" collapsed="false">
      <c r="A77" s="28"/>
      <c r="B77" s="28"/>
      <c r="C77" s="28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</row>
    <row r="78" customFormat="false" ht="12.75" hidden="false" customHeight="false" outlineLevel="0" collapsed="false">
      <c r="A78" s="28"/>
      <c r="B78" s="28"/>
      <c r="C78" s="28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</row>
    <row r="83" customFormat="false" ht="12.75" hidden="false" customHeight="false" outlineLevel="0" collapsed="false">
      <c r="A83" s="28"/>
      <c r="B83" s="28"/>
      <c r="C83" s="28"/>
      <c r="D83" s="28"/>
      <c r="E83" s="28"/>
    </row>
    <row r="84" customFormat="false" ht="12.75" hidden="false" customHeight="false" outlineLevel="0" collapsed="false">
      <c r="A84" s="28"/>
      <c r="B84" s="28"/>
      <c r="C84" s="28"/>
    </row>
    <row r="85" customFormat="false" ht="12.75" hidden="false" customHeight="false" outlineLevel="0" collapsed="false">
      <c r="A85" s="28"/>
      <c r="B85" s="28"/>
      <c r="C85" s="28"/>
      <c r="D85" s="31"/>
      <c r="E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</row>
    <row r="88" customFormat="false" ht="12.75" hidden="false" customHeight="false" outlineLevel="0" collapsed="false">
      <c r="A88" s="28"/>
      <c r="B88" s="28"/>
      <c r="C88" s="2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customFormat="false" ht="12.75" hidden="false" customHeight="false" outlineLevel="0" collapsed="false">
      <c r="A89" s="28"/>
      <c r="B89" s="28"/>
      <c r="C89" s="2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customFormat="false" ht="12.75" hidden="false" customHeight="false" outlineLevel="0" collapsed="false">
      <c r="A90" s="28"/>
      <c r="B90" s="28"/>
      <c r="C90" s="2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customFormat="false" ht="12.75" hidden="false" customHeight="false" outlineLevel="0" collapsed="false">
      <c r="A91" s="28"/>
      <c r="B91" s="28"/>
      <c r="C91" s="2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customFormat="false" ht="12.75" hidden="false" customHeight="false" outlineLevel="0" collapsed="false">
      <c r="A92" s="28"/>
      <c r="B92" s="28"/>
      <c r="C92" s="2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customFormat="false" ht="12.75" hidden="false" customHeight="false" outlineLevel="0" collapsed="false">
      <c r="A93" s="28"/>
      <c r="B93" s="28"/>
      <c r="C93" s="2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customFormat="false" ht="12.75" hidden="false" customHeight="false" outlineLevel="0" collapsed="false">
      <c r="A94" s="28"/>
      <c r="B94" s="28"/>
      <c r="C94" s="2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customFormat="false" ht="12.75" hidden="false" customHeight="false" outlineLevel="0" collapsed="false">
      <c r="A96" s="28"/>
      <c r="B96" s="28"/>
      <c r="C96" s="28"/>
      <c r="D96" s="36"/>
      <c r="E96" s="36"/>
    </row>
    <row r="97" customFormat="false" ht="12.75" hidden="false" customHeight="false" outlineLevel="0" collapsed="false">
      <c r="A97" s="28"/>
      <c r="B97" s="28"/>
      <c r="C97" s="28"/>
      <c r="D97" s="28"/>
      <c r="E97" s="28"/>
    </row>
    <row r="98" customFormat="false" ht="12.75" hidden="false" customHeight="false" outlineLevel="0" collapsed="false">
      <c r="A98" s="28"/>
      <c r="B98" s="28"/>
      <c r="C98" s="28"/>
      <c r="D98" s="36"/>
      <c r="E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customFormat="false" ht="12.75" hidden="false" customHeight="false" outlineLevel="0" collapsed="false">
      <c r="A101" s="28"/>
      <c r="B101" s="28"/>
      <c r="C101" s="28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</row>
  </sheetData>
  <mergeCells count="6">
    <mergeCell ref="D35:S35"/>
    <mergeCell ref="A70:S70"/>
    <mergeCell ref="A75:S75"/>
    <mergeCell ref="A79:S79"/>
    <mergeCell ref="A87:S87"/>
    <mergeCell ref="A100:S100"/>
  </mergeCells>
  <dataValidations count="2">
    <dataValidation allowBlank="true" errorStyle="stop" operator="between" showDropDown="false" showErrorMessage="true" showInputMessage="false" sqref="A88:C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8"/>
    <col collapsed="false" customWidth="true" hidden="false" outlineLevel="0" max="11" min="11" style="1" width="19.14"/>
    <col collapsed="false" customWidth="true" hidden="false" outlineLevel="0" max="12" min="12" style="1" width="11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45778</v>
      </c>
      <c r="B2" s="38" t="n">
        <v>1140.38399948</v>
      </c>
      <c r="C2" s="38" t="n">
        <v>197.94599994</v>
      </c>
      <c r="D2" s="13" t="n">
        <f aca="false">W3-W2</f>
        <v>144</v>
      </c>
      <c r="E2" s="13" t="n">
        <f aca="false">D2*0.13</f>
        <v>18.72</v>
      </c>
      <c r="F2" s="13" t="n">
        <f aca="false">X3-X2</f>
        <v>151</v>
      </c>
      <c r="G2" s="13" t="n">
        <f aca="false">F2*0.13</f>
        <v>19.63</v>
      </c>
      <c r="H2" s="13" t="n">
        <v>134.566666666667</v>
      </c>
      <c r="I2" s="13" t="n">
        <v>20</v>
      </c>
      <c r="J2" s="19" t="n">
        <f aca="false">Z3-Z2</f>
        <v>3</v>
      </c>
      <c r="K2" s="12" t="n">
        <v>0</v>
      </c>
      <c r="L2" s="13" t="n">
        <v>42</v>
      </c>
      <c r="M2" s="13" t="n">
        <v>6</v>
      </c>
      <c r="N2" s="38" t="n">
        <v>329.2319994</v>
      </c>
      <c r="O2" s="38" t="n">
        <v>64.1279999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7</v>
      </c>
      <c r="T2" s="12"/>
      <c r="U2" s="11"/>
      <c r="V2" s="14" t="n">
        <v>0</v>
      </c>
      <c r="W2" s="48" t="n">
        <v>4765</v>
      </c>
      <c r="X2" s="48" t="n">
        <v>6659</v>
      </c>
      <c r="Y2" s="48" t="n">
        <v>9140</v>
      </c>
      <c r="Z2" s="48" t="n">
        <v>10780</v>
      </c>
      <c r="AA2" s="48" t="n">
        <v>1266</v>
      </c>
      <c r="AB2" s="48" t="n">
        <v>3556</v>
      </c>
      <c r="AC2" s="48" t="n">
        <v>353</v>
      </c>
      <c r="AD2" s="48" t="n">
        <v>3203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45779</v>
      </c>
      <c r="B3" s="38" t="n">
        <v>1122.23999952</v>
      </c>
      <c r="C3" s="38" t="n">
        <v>186.77399992</v>
      </c>
      <c r="D3" s="13" t="n">
        <f aca="false">W4-W3</f>
        <v>0</v>
      </c>
      <c r="E3" s="13" t="n">
        <f aca="false">D3*0.13</f>
        <v>0</v>
      </c>
      <c r="F3" s="13" t="n">
        <f aca="false">X4-X3</f>
        <v>0</v>
      </c>
      <c r="G3" s="13" t="n">
        <f aca="false">F3*0.13</f>
        <v>0</v>
      </c>
      <c r="H3" s="13" t="n">
        <v>134.566666666667</v>
      </c>
      <c r="I3" s="13" t="n">
        <v>20</v>
      </c>
      <c r="J3" s="19" t="n">
        <f aca="false">Z4-Z3</f>
        <v>0</v>
      </c>
      <c r="K3" s="12" t="n">
        <v>0</v>
      </c>
      <c r="L3" s="13" t="n">
        <v>42</v>
      </c>
      <c r="M3" s="13" t="n">
        <v>6</v>
      </c>
      <c r="N3" s="38" t="n">
        <v>295.15199935</v>
      </c>
      <c r="O3" s="38" t="n">
        <v>61.91999989</v>
      </c>
      <c r="P3" s="19" t="n">
        <f aca="false">AC4-AC3</f>
        <v>0</v>
      </c>
      <c r="Q3" s="12" t="n">
        <v>0</v>
      </c>
      <c r="R3" s="12" t="n">
        <v>0</v>
      </c>
      <c r="S3" s="19" t="n">
        <f aca="false">AD4-AD3</f>
        <v>0</v>
      </c>
      <c r="T3" s="12"/>
      <c r="U3" s="11"/>
      <c r="V3" s="18" t="n">
        <v>1</v>
      </c>
      <c r="W3" s="12" t="n">
        <v>4909</v>
      </c>
      <c r="X3" s="12" t="n">
        <v>6810</v>
      </c>
      <c r="Y3" s="12" t="n">
        <v>9145</v>
      </c>
      <c r="Z3" s="12" t="n">
        <v>10783</v>
      </c>
      <c r="AA3" s="12" t="n">
        <v>1266</v>
      </c>
      <c r="AB3" s="12" t="n">
        <v>3565</v>
      </c>
      <c r="AC3" s="12" t="n">
        <v>354</v>
      </c>
      <c r="AD3" s="12" t="n">
        <v>3210</v>
      </c>
    </row>
    <row r="4" customFormat="false" ht="15.75" hidden="false" customHeight="false" outlineLevel="0" collapsed="false">
      <c r="A4" s="42" t="n">
        <f aca="false">A3+1</f>
        <v>45780</v>
      </c>
      <c r="B4" s="38" t="n">
        <v>1199.18399946</v>
      </c>
      <c r="C4" s="38" t="n">
        <v>217.34999991</v>
      </c>
      <c r="D4" s="13" t="n">
        <f aca="false">W5-W4</f>
        <v>100</v>
      </c>
      <c r="E4" s="13" t="n">
        <f aca="false">D4*0.13</f>
        <v>13</v>
      </c>
      <c r="F4" s="13" t="n">
        <f aca="false">X5-X4</f>
        <v>122</v>
      </c>
      <c r="G4" s="13" t="n">
        <f aca="false">F4*0.13</f>
        <v>15.86</v>
      </c>
      <c r="H4" s="13" t="n">
        <v>134.566666666667</v>
      </c>
      <c r="I4" s="13" t="n">
        <v>20</v>
      </c>
      <c r="J4" s="19" t="n">
        <f aca="false">Z5-Z4</f>
        <v>1</v>
      </c>
      <c r="K4" s="12" t="n">
        <v>0</v>
      </c>
      <c r="L4" s="13" t="n">
        <v>42</v>
      </c>
      <c r="M4" s="13" t="n">
        <v>6</v>
      </c>
      <c r="N4" s="38" t="n">
        <v>290.90399938</v>
      </c>
      <c r="O4" s="38" t="n">
        <v>56.61599989</v>
      </c>
      <c r="P4" s="19" t="n">
        <f aca="false">AC5-AC4</f>
        <v>1</v>
      </c>
      <c r="Q4" s="12" t="n">
        <v>0</v>
      </c>
      <c r="R4" s="12" t="n">
        <v>0</v>
      </c>
      <c r="S4" s="19" t="n">
        <f aca="false">AD5-AD4</f>
        <v>8</v>
      </c>
      <c r="T4" s="12"/>
      <c r="U4" s="11"/>
      <c r="V4" s="20" t="n">
        <f aca="false">V3+1</f>
        <v>2</v>
      </c>
      <c r="W4" s="12" t="n">
        <v>4909</v>
      </c>
      <c r="X4" s="12" t="n">
        <v>6810</v>
      </c>
      <c r="Y4" s="12" t="n">
        <v>9145</v>
      </c>
      <c r="Z4" s="12" t="n">
        <v>10783</v>
      </c>
      <c r="AA4" s="12" t="n">
        <v>1266</v>
      </c>
      <c r="AB4" s="12" t="n">
        <v>3565</v>
      </c>
      <c r="AC4" s="12" t="n">
        <v>354</v>
      </c>
      <c r="AD4" s="12" t="n">
        <v>3210</v>
      </c>
    </row>
    <row r="5" customFormat="false" ht="15.75" hidden="false" customHeight="false" outlineLevel="0" collapsed="false">
      <c r="A5" s="42" t="n">
        <f aca="false">A4+1</f>
        <v>45781</v>
      </c>
      <c r="B5" s="38" t="n">
        <v>1127.65799945</v>
      </c>
      <c r="C5" s="38" t="n">
        <v>210.96599993</v>
      </c>
      <c r="D5" s="13" t="n">
        <f aca="false">W6-W5</f>
        <v>16</v>
      </c>
      <c r="E5" s="13" t="n">
        <f aca="false">D5*0.13</f>
        <v>2.08</v>
      </c>
      <c r="F5" s="13" t="n">
        <f aca="false">X6-X5</f>
        <v>0</v>
      </c>
      <c r="G5" s="13" t="n">
        <f aca="false">F5*0.13</f>
        <v>0</v>
      </c>
      <c r="H5" s="13" t="n">
        <v>134.566666666667</v>
      </c>
      <c r="I5" s="13" t="n">
        <v>20</v>
      </c>
      <c r="J5" s="19" t="n">
        <f aca="false">Z6-Z5</f>
        <v>0</v>
      </c>
      <c r="K5" s="12" t="n">
        <v>0</v>
      </c>
      <c r="L5" s="13" t="n">
        <v>42</v>
      </c>
      <c r="M5" s="13" t="n">
        <v>6</v>
      </c>
      <c r="N5" s="38" t="n">
        <v>283.87199933</v>
      </c>
      <c r="O5" s="38" t="n">
        <v>60.57599991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/>
      <c r="U5" s="11"/>
      <c r="V5" s="20" t="n">
        <f aca="false">V4+1</f>
        <v>3</v>
      </c>
      <c r="W5" s="12" t="n">
        <v>5009</v>
      </c>
      <c r="X5" s="12" t="n">
        <v>6932</v>
      </c>
      <c r="Y5" s="12" t="n">
        <v>9157</v>
      </c>
      <c r="Z5" s="12" t="n">
        <v>10784</v>
      </c>
      <c r="AA5" s="12" t="n">
        <v>1267</v>
      </c>
      <c r="AB5" s="12" t="n">
        <v>3574</v>
      </c>
      <c r="AC5" s="12" t="n">
        <v>355</v>
      </c>
      <c r="AD5" s="12" t="n">
        <v>3218</v>
      </c>
    </row>
    <row r="6" customFormat="false" ht="15.75" hidden="false" customHeight="false" outlineLevel="0" collapsed="false">
      <c r="A6" s="42" t="n">
        <f aca="false">A5+1</f>
        <v>45782</v>
      </c>
      <c r="B6" s="38" t="n">
        <v>1442.40599947</v>
      </c>
      <c r="C6" s="38" t="n">
        <v>234.23399995</v>
      </c>
      <c r="D6" s="13" t="n">
        <f aca="false">W7-W6</f>
        <v>44</v>
      </c>
      <c r="E6" s="13" t="n">
        <f aca="false">D6*0.13</f>
        <v>5.72</v>
      </c>
      <c r="F6" s="13" t="n">
        <f aca="false">X7-X6</f>
        <v>65</v>
      </c>
      <c r="G6" s="13" t="n">
        <f aca="false">F6*0.13</f>
        <v>8.45</v>
      </c>
      <c r="H6" s="13" t="n">
        <v>134.566666666667</v>
      </c>
      <c r="I6" s="13" t="n">
        <v>20</v>
      </c>
      <c r="J6" s="19" t="n">
        <f aca="false">Z7-Z6</f>
        <v>0</v>
      </c>
      <c r="K6" s="12" t="n">
        <v>0</v>
      </c>
      <c r="L6" s="13" t="n">
        <v>42</v>
      </c>
      <c r="M6" s="13" t="n">
        <v>6</v>
      </c>
      <c r="N6" s="38" t="n">
        <v>229.07999943</v>
      </c>
      <c r="O6" s="38" t="n">
        <v>50.87999992</v>
      </c>
      <c r="P6" s="19" t="n">
        <f aca="false">AC7-AC6</f>
        <v>0</v>
      </c>
      <c r="Q6" s="12" t="n">
        <v>0</v>
      </c>
      <c r="R6" s="12" t="n">
        <v>0</v>
      </c>
      <c r="S6" s="19" t="n">
        <f aca="false">AD7-AD6</f>
        <v>4</v>
      </c>
      <c r="T6" s="12"/>
      <c r="U6" s="11"/>
      <c r="V6" s="20" t="n">
        <f aca="false">V5+1</f>
        <v>4</v>
      </c>
      <c r="W6" s="12" t="n">
        <v>5025</v>
      </c>
      <c r="X6" s="12" t="n">
        <v>6932</v>
      </c>
      <c r="Y6" s="12" t="n">
        <v>9158</v>
      </c>
      <c r="Z6" s="12" t="n">
        <v>10784</v>
      </c>
      <c r="AA6" s="12" t="n">
        <v>1267</v>
      </c>
      <c r="AB6" s="12" t="n">
        <v>3578</v>
      </c>
      <c r="AC6" s="12" t="n">
        <v>355</v>
      </c>
      <c r="AD6" s="12" t="n">
        <v>3223</v>
      </c>
    </row>
    <row r="7" customFormat="false" ht="15.75" hidden="false" customHeight="false" outlineLevel="0" collapsed="false">
      <c r="A7" s="42" t="n">
        <f aca="false">A6+1</f>
        <v>45783</v>
      </c>
      <c r="B7" s="38" t="n">
        <v>1559.45999954</v>
      </c>
      <c r="C7" s="38" t="n">
        <v>240.44999989</v>
      </c>
      <c r="D7" s="13" t="n">
        <f aca="false">W8-W7</f>
        <v>58</v>
      </c>
      <c r="E7" s="13" t="n">
        <f aca="false">D7*0.13</f>
        <v>7.54</v>
      </c>
      <c r="F7" s="13" t="n">
        <f aca="false">X8-X7</f>
        <v>110</v>
      </c>
      <c r="G7" s="13" t="n">
        <f aca="false">F7*0.13</f>
        <v>14.3</v>
      </c>
      <c r="H7" s="13" t="n">
        <v>134.566666666667</v>
      </c>
      <c r="I7" s="13" t="n">
        <v>20</v>
      </c>
      <c r="J7" s="19" t="n">
        <f aca="false">Z8-Z7</f>
        <v>1</v>
      </c>
      <c r="K7" s="12" t="n">
        <v>0</v>
      </c>
      <c r="L7" s="13" t="n">
        <v>42</v>
      </c>
      <c r="M7" s="13" t="n">
        <v>6</v>
      </c>
      <c r="N7" s="38" t="n">
        <v>258.69599934</v>
      </c>
      <c r="O7" s="38" t="n">
        <v>46.8479999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1</v>
      </c>
      <c r="T7" s="12"/>
      <c r="U7" s="11"/>
      <c r="V7" s="20" t="n">
        <f aca="false">V6+1</f>
        <v>5</v>
      </c>
      <c r="W7" s="12" t="n">
        <v>5069</v>
      </c>
      <c r="X7" s="12" t="n">
        <v>6997</v>
      </c>
      <c r="Y7" s="12" t="n">
        <v>9168</v>
      </c>
      <c r="Z7" s="12" t="n">
        <v>10784</v>
      </c>
      <c r="AA7" s="12" t="n">
        <v>1267</v>
      </c>
      <c r="AB7" s="12" t="n">
        <v>3583</v>
      </c>
      <c r="AC7" s="12" t="n">
        <v>355</v>
      </c>
      <c r="AD7" s="12" t="n">
        <v>3227</v>
      </c>
    </row>
    <row r="8" customFormat="false" ht="15.75" hidden="false" customHeight="false" outlineLevel="0" collapsed="false">
      <c r="A8" s="42" t="n">
        <f aca="false">A7+1</f>
        <v>45784</v>
      </c>
      <c r="B8" s="38" t="n">
        <v>1778.4059996</v>
      </c>
      <c r="C8" s="38" t="n">
        <v>278.12399991</v>
      </c>
      <c r="D8" s="13" t="n">
        <f aca="false">W9-W8</f>
        <v>3</v>
      </c>
      <c r="E8" s="13" t="n">
        <f aca="false">D8*0.13</f>
        <v>0.39</v>
      </c>
      <c r="F8" s="13" t="n">
        <f aca="false">X9-X8</f>
        <v>3</v>
      </c>
      <c r="G8" s="13" t="n">
        <f aca="false">F8*0.13</f>
        <v>0.39</v>
      </c>
      <c r="H8" s="13" t="n">
        <v>134.566666666667</v>
      </c>
      <c r="I8" s="13" t="n">
        <v>20</v>
      </c>
      <c r="J8" s="19" t="n">
        <f aca="false">Z9-Z8</f>
        <v>2</v>
      </c>
      <c r="K8" s="12" t="n">
        <v>0</v>
      </c>
      <c r="L8" s="13" t="n">
        <v>42</v>
      </c>
      <c r="M8" s="13" t="n">
        <v>6</v>
      </c>
      <c r="N8" s="38" t="n">
        <v>269.63999931</v>
      </c>
      <c r="O8" s="38" t="n">
        <v>58.5599999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5</v>
      </c>
      <c r="T8" s="12"/>
      <c r="U8" s="11"/>
      <c r="V8" s="20" t="n">
        <f aca="false">V7+1</f>
        <v>6</v>
      </c>
      <c r="W8" s="12" t="n">
        <v>5127</v>
      </c>
      <c r="X8" s="12" t="n">
        <v>7107</v>
      </c>
      <c r="Y8" s="12" t="n">
        <v>9172</v>
      </c>
      <c r="Z8" s="12" t="n">
        <v>10785</v>
      </c>
      <c r="AA8" s="12" t="n">
        <v>1267</v>
      </c>
      <c r="AB8" s="12" t="n">
        <v>3584</v>
      </c>
      <c r="AC8" s="12" t="n">
        <v>355</v>
      </c>
      <c r="AD8" s="12" t="n">
        <v>3228</v>
      </c>
    </row>
    <row r="9" customFormat="false" ht="15.75" hidden="false" customHeight="false" outlineLevel="0" collapsed="false">
      <c r="A9" s="42" t="n">
        <f aca="false">A8+1</f>
        <v>45785</v>
      </c>
      <c r="B9" s="38" t="n">
        <v>1689.65999948</v>
      </c>
      <c r="C9" s="38" t="n">
        <v>264.26399991</v>
      </c>
      <c r="D9" s="13" t="n">
        <f aca="false">W10-W9</f>
        <v>0</v>
      </c>
      <c r="E9" s="13" t="n">
        <f aca="false">D9*0.13</f>
        <v>0</v>
      </c>
      <c r="F9" s="13" t="n">
        <f aca="false">X10-X9</f>
        <v>0</v>
      </c>
      <c r="G9" s="13" t="n">
        <f aca="false">F9*0.13</f>
        <v>0</v>
      </c>
      <c r="H9" s="13" t="n">
        <v>134.566666666667</v>
      </c>
      <c r="I9" s="13" t="n">
        <v>20</v>
      </c>
      <c r="J9" s="19" t="n">
        <f aca="false">Z10-Z9</f>
        <v>0</v>
      </c>
      <c r="K9" s="12" t="n">
        <v>0</v>
      </c>
      <c r="L9" s="13" t="n">
        <v>42</v>
      </c>
      <c r="M9" s="13" t="n">
        <v>6</v>
      </c>
      <c r="N9" s="38" t="n">
        <v>312.67199933</v>
      </c>
      <c r="O9" s="38" t="n">
        <v>68.20799992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0</v>
      </c>
      <c r="T9" s="12"/>
      <c r="U9" s="11"/>
      <c r="V9" s="20" t="n">
        <f aca="false">V8+1</f>
        <v>7</v>
      </c>
      <c r="W9" s="12" t="n">
        <v>5130</v>
      </c>
      <c r="X9" s="12" t="n">
        <v>7110</v>
      </c>
      <c r="Y9" s="12" t="n">
        <v>9176</v>
      </c>
      <c r="Z9" s="12" t="n">
        <v>10787</v>
      </c>
      <c r="AA9" s="12" t="n">
        <v>1268</v>
      </c>
      <c r="AB9" s="12" t="n">
        <v>3590</v>
      </c>
      <c r="AC9" s="12" t="n">
        <v>356</v>
      </c>
      <c r="AD9" s="12" t="n">
        <v>3233</v>
      </c>
    </row>
    <row r="10" customFormat="false" ht="15.75" hidden="false" customHeight="false" outlineLevel="0" collapsed="false">
      <c r="A10" s="42" t="n">
        <f aca="false">A9+1</f>
        <v>45786</v>
      </c>
      <c r="B10" s="38" t="n">
        <v>1377.89399952</v>
      </c>
      <c r="C10" s="38" t="n">
        <v>214.95599992</v>
      </c>
      <c r="D10" s="13" t="n">
        <f aca="false">W11-W10</f>
        <v>0</v>
      </c>
      <c r="E10" s="13" t="n">
        <f aca="false">D10*0.13</f>
        <v>0</v>
      </c>
      <c r="F10" s="13" t="n">
        <f aca="false">X11-X10</f>
        <v>0</v>
      </c>
      <c r="G10" s="13" t="n">
        <f aca="false">F10*0.13</f>
        <v>0</v>
      </c>
      <c r="H10" s="13" t="n">
        <v>134.566666666667</v>
      </c>
      <c r="I10" s="13" t="n">
        <v>20</v>
      </c>
      <c r="J10" s="19" t="n">
        <f aca="false">Z11-Z10</f>
        <v>0</v>
      </c>
      <c r="K10" s="12" t="n">
        <v>0</v>
      </c>
      <c r="L10" s="13" t="n">
        <v>42</v>
      </c>
      <c r="M10" s="13" t="n">
        <v>6</v>
      </c>
      <c r="N10" s="38" t="n">
        <v>320.0639994</v>
      </c>
      <c r="O10" s="38" t="n">
        <v>64.2959999</v>
      </c>
      <c r="P10" s="19" t="n">
        <f aca="false">AC11-AC10</f>
        <v>0</v>
      </c>
      <c r="Q10" s="12" t="n">
        <v>0</v>
      </c>
      <c r="R10" s="12" t="n">
        <v>0</v>
      </c>
      <c r="S10" s="19" t="n">
        <f aca="false">AD11-AD10</f>
        <v>0</v>
      </c>
      <c r="T10" s="12"/>
      <c r="U10" s="11"/>
      <c r="V10" s="20" t="n">
        <f aca="false">V9+1</f>
        <v>8</v>
      </c>
      <c r="W10" s="12" t="n">
        <v>5130</v>
      </c>
      <c r="X10" s="12" t="n">
        <v>7110</v>
      </c>
      <c r="Y10" s="12" t="n">
        <v>9176</v>
      </c>
      <c r="Z10" s="12" t="n">
        <v>10787</v>
      </c>
      <c r="AA10" s="12" t="n">
        <v>1268</v>
      </c>
      <c r="AB10" s="12" t="n">
        <v>3590</v>
      </c>
      <c r="AC10" s="12" t="n">
        <v>356</v>
      </c>
      <c r="AD10" s="12" t="n">
        <v>3233</v>
      </c>
    </row>
    <row r="11" customFormat="false" ht="15.75" hidden="false" customHeight="false" outlineLevel="0" collapsed="false">
      <c r="A11" s="42" t="n">
        <f aca="false">A10+1</f>
        <v>45787</v>
      </c>
      <c r="B11" s="38" t="n">
        <v>1204.81199947</v>
      </c>
      <c r="C11" s="38" t="n">
        <v>211.30199992</v>
      </c>
      <c r="D11" s="13" t="n">
        <f aca="false">W12-W11</f>
        <v>286</v>
      </c>
      <c r="E11" s="13" t="n">
        <f aca="false">D11*0.13</f>
        <v>37.18</v>
      </c>
      <c r="F11" s="13" t="n">
        <f aca="false">X12-X11</f>
        <v>299</v>
      </c>
      <c r="G11" s="13" t="n">
        <f aca="false">F11*0.13</f>
        <v>38.87</v>
      </c>
      <c r="H11" s="13" t="n">
        <v>134.566666666667</v>
      </c>
      <c r="I11" s="13" t="n">
        <v>20</v>
      </c>
      <c r="J11" s="19" t="n">
        <f aca="false">Z12-Z11</f>
        <v>0</v>
      </c>
      <c r="K11" s="12" t="n">
        <v>0</v>
      </c>
      <c r="L11" s="13" t="n">
        <v>42</v>
      </c>
      <c r="M11" s="13" t="n">
        <v>6</v>
      </c>
      <c r="N11" s="38" t="n">
        <v>342.31199934</v>
      </c>
      <c r="O11" s="38" t="n">
        <v>80.23199989</v>
      </c>
      <c r="P11" s="19" t="n">
        <f aca="false">AC12-AC11</f>
        <v>2</v>
      </c>
      <c r="Q11" s="12" t="n">
        <v>0</v>
      </c>
      <c r="R11" s="12" t="n">
        <v>0</v>
      </c>
      <c r="S11" s="19" t="n">
        <f aca="false">AD12-AD11</f>
        <v>12</v>
      </c>
      <c r="T11" s="12"/>
      <c r="U11" s="11"/>
      <c r="V11" s="20" t="n">
        <f aca="false">V10+1</f>
        <v>9</v>
      </c>
      <c r="W11" s="12" t="n">
        <v>5130</v>
      </c>
      <c r="X11" s="12" t="n">
        <v>7110</v>
      </c>
      <c r="Y11" s="12" t="n">
        <v>9176</v>
      </c>
      <c r="Z11" s="12" t="n">
        <v>10787</v>
      </c>
      <c r="AA11" s="12" t="n">
        <v>1268</v>
      </c>
      <c r="AB11" s="12" t="n">
        <v>3590</v>
      </c>
      <c r="AC11" s="12" t="n">
        <v>356</v>
      </c>
      <c r="AD11" s="12" t="n">
        <v>3233</v>
      </c>
    </row>
    <row r="12" customFormat="false" ht="15.75" hidden="false" customHeight="false" outlineLevel="0" collapsed="false">
      <c r="A12" s="42" t="n">
        <f aca="false">A11+1</f>
        <v>45788</v>
      </c>
      <c r="B12" s="38" t="n">
        <v>1158.98999946</v>
      </c>
      <c r="C12" s="38" t="n">
        <v>221.80199989</v>
      </c>
      <c r="D12" s="13" t="n">
        <f aca="false">W13-W12</f>
        <v>13</v>
      </c>
      <c r="E12" s="13" t="n">
        <f aca="false">D12*0.13</f>
        <v>1.69</v>
      </c>
      <c r="F12" s="13" t="n">
        <f aca="false">X13-X12</f>
        <v>26</v>
      </c>
      <c r="G12" s="13" t="n">
        <f aca="false">F12*0.13</f>
        <v>3.38</v>
      </c>
      <c r="H12" s="13" t="n">
        <v>134.566666666667</v>
      </c>
      <c r="I12" s="13" t="n">
        <v>20</v>
      </c>
      <c r="J12" s="19" t="n">
        <f aca="false">Z13-Z12</f>
        <v>1</v>
      </c>
      <c r="K12" s="12" t="n">
        <v>0</v>
      </c>
      <c r="L12" s="13" t="n">
        <v>42</v>
      </c>
      <c r="M12" s="13" t="n">
        <v>6</v>
      </c>
      <c r="N12" s="38" t="n">
        <v>329.78399932</v>
      </c>
      <c r="O12" s="38" t="n">
        <v>63.40799989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5</v>
      </c>
      <c r="T12" s="12"/>
      <c r="U12" s="11"/>
      <c r="V12" s="20" t="n">
        <f aca="false">V11+1</f>
        <v>10</v>
      </c>
      <c r="W12" s="12" t="n">
        <v>5416</v>
      </c>
      <c r="X12" s="12" t="n">
        <v>7409</v>
      </c>
      <c r="Y12" s="12" t="n">
        <v>9192</v>
      </c>
      <c r="Z12" s="12" t="n">
        <v>10787</v>
      </c>
      <c r="AA12" s="12" t="n">
        <v>1269</v>
      </c>
      <c r="AB12" s="12" t="n">
        <v>3604</v>
      </c>
      <c r="AC12" s="12" t="n">
        <v>358</v>
      </c>
      <c r="AD12" s="12" t="n">
        <v>3245</v>
      </c>
    </row>
    <row r="13" customFormat="false" ht="15.75" hidden="false" customHeight="false" outlineLevel="0" collapsed="false">
      <c r="A13" s="42" t="n">
        <f aca="false">A12+1</f>
        <v>45789</v>
      </c>
      <c r="B13" s="38" t="n">
        <v>1647.53399949</v>
      </c>
      <c r="C13" s="38" t="n">
        <v>224.02799993</v>
      </c>
      <c r="D13" s="13" t="n">
        <f aca="false">W14-W13</f>
        <v>29</v>
      </c>
      <c r="E13" s="13" t="n">
        <f aca="false">D13*0.13</f>
        <v>3.77</v>
      </c>
      <c r="F13" s="13" t="n">
        <f aca="false">X14-X13</f>
        <v>118</v>
      </c>
      <c r="G13" s="13" t="n">
        <f aca="false">F13*0.13</f>
        <v>15.34</v>
      </c>
      <c r="H13" s="13" t="n">
        <v>134.566666666667</v>
      </c>
      <c r="I13" s="13" t="n">
        <v>20</v>
      </c>
      <c r="J13" s="19" t="n">
        <f aca="false">Z14-Z13</f>
        <v>1</v>
      </c>
      <c r="K13" s="12" t="n">
        <v>0</v>
      </c>
      <c r="L13" s="13" t="n">
        <v>42</v>
      </c>
      <c r="M13" s="13" t="n">
        <v>6</v>
      </c>
      <c r="N13" s="38" t="n">
        <v>325.24799933</v>
      </c>
      <c r="O13" s="38" t="n">
        <v>64.07999991</v>
      </c>
      <c r="P13" s="19" t="n">
        <f aca="false">AC14-AC13</f>
        <v>0</v>
      </c>
      <c r="Q13" s="12" t="n">
        <v>0</v>
      </c>
      <c r="R13" s="12" t="n">
        <v>0</v>
      </c>
      <c r="S13" s="19" t="n">
        <f aca="false">AD14-AD13</f>
        <v>5</v>
      </c>
      <c r="T13" s="12"/>
      <c r="U13" s="11"/>
      <c r="V13" s="20" t="n">
        <f aca="false">V12+1</f>
        <v>11</v>
      </c>
      <c r="W13" s="12" t="n">
        <v>5429</v>
      </c>
      <c r="X13" s="12" t="n">
        <v>7435</v>
      </c>
      <c r="Y13" s="12" t="n">
        <v>9195</v>
      </c>
      <c r="Z13" s="12" t="n">
        <v>10788</v>
      </c>
      <c r="AA13" s="12" t="n">
        <v>1269</v>
      </c>
      <c r="AB13" s="12" t="n">
        <v>3609</v>
      </c>
      <c r="AC13" s="12" t="n">
        <v>358</v>
      </c>
      <c r="AD13" s="12" t="n">
        <v>3250</v>
      </c>
    </row>
    <row r="14" customFormat="false" ht="15.75" hidden="false" customHeight="false" outlineLevel="0" collapsed="false">
      <c r="A14" s="42" t="n">
        <f aca="false">A13+1</f>
        <v>45790</v>
      </c>
      <c r="B14" s="38" t="n">
        <v>1528.37999941</v>
      </c>
      <c r="C14" s="38" t="n">
        <v>226.25399994</v>
      </c>
      <c r="D14" s="13" t="n">
        <f aca="false">W15-W14</f>
        <v>0</v>
      </c>
      <c r="E14" s="13" t="n">
        <f aca="false">D14*0.13</f>
        <v>0</v>
      </c>
      <c r="F14" s="13" t="n">
        <f aca="false">X15-X14</f>
        <v>0</v>
      </c>
      <c r="G14" s="13" t="n">
        <f aca="false">F14*0.13</f>
        <v>0</v>
      </c>
      <c r="H14" s="13" t="n">
        <v>134.566666666667</v>
      </c>
      <c r="I14" s="13" t="n">
        <v>20</v>
      </c>
      <c r="J14" s="19" t="n">
        <f aca="false">Z15-Z14</f>
        <v>0</v>
      </c>
      <c r="K14" s="12" t="n">
        <v>0</v>
      </c>
      <c r="L14" s="13" t="n">
        <v>42</v>
      </c>
      <c r="M14" s="13" t="n">
        <v>6</v>
      </c>
      <c r="N14" s="38" t="n">
        <v>262.89599937</v>
      </c>
      <c r="O14" s="38" t="n">
        <v>57.35999989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0</v>
      </c>
      <c r="T14" s="12"/>
      <c r="U14" s="11"/>
      <c r="V14" s="20" t="n">
        <f aca="false">V13+1</f>
        <v>12</v>
      </c>
      <c r="W14" s="12" t="n">
        <v>5458</v>
      </c>
      <c r="X14" s="12" t="n">
        <v>7553</v>
      </c>
      <c r="Y14" s="12" t="n">
        <v>9200</v>
      </c>
      <c r="Z14" s="12" t="n">
        <v>10789</v>
      </c>
      <c r="AA14" s="12" t="n">
        <v>1269</v>
      </c>
      <c r="AB14" s="12" t="n">
        <v>3614</v>
      </c>
      <c r="AC14" s="12" t="n">
        <v>358</v>
      </c>
      <c r="AD14" s="12" t="n">
        <v>3255</v>
      </c>
    </row>
    <row r="15" customFormat="false" ht="15.75" hidden="false" customHeight="false" outlineLevel="0" collapsed="false">
      <c r="A15" s="42" t="n">
        <f aca="false">A14+1</f>
        <v>45791</v>
      </c>
      <c r="B15" s="38" t="n">
        <v>1566.93599954</v>
      </c>
      <c r="C15" s="38" t="n">
        <v>230.91599993</v>
      </c>
      <c r="D15" s="13" t="n">
        <f aca="false">W16-W15</f>
        <v>0</v>
      </c>
      <c r="E15" s="13" t="n">
        <f aca="false">D15*0.13</f>
        <v>0</v>
      </c>
      <c r="F15" s="13" t="n">
        <f aca="false">X16-X15</f>
        <v>0</v>
      </c>
      <c r="G15" s="13" t="n">
        <f aca="false">F15*0.13</f>
        <v>0</v>
      </c>
      <c r="H15" s="13" t="n">
        <v>134.566666666667</v>
      </c>
      <c r="I15" s="13" t="n">
        <v>20</v>
      </c>
      <c r="J15" s="19" t="n">
        <v>1</v>
      </c>
      <c r="K15" s="12" t="n">
        <v>0</v>
      </c>
      <c r="L15" s="13" t="n">
        <v>42</v>
      </c>
      <c r="M15" s="13" t="n">
        <v>6</v>
      </c>
      <c r="N15" s="38" t="n">
        <v>255.91199935</v>
      </c>
      <c r="O15" s="38" t="n">
        <v>52.2479999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U15" s="11"/>
      <c r="V15" s="20" t="n">
        <f aca="false">V14+1</f>
        <v>13</v>
      </c>
      <c r="W15" s="12" t="n">
        <v>5458</v>
      </c>
      <c r="X15" s="12" t="n">
        <v>7553</v>
      </c>
      <c r="Y15" s="12" t="n">
        <v>9200</v>
      </c>
      <c r="Z15" s="12" t="n">
        <v>10789</v>
      </c>
      <c r="AA15" s="12" t="n">
        <v>1269</v>
      </c>
      <c r="AB15" s="12" t="n">
        <v>3614</v>
      </c>
      <c r="AC15" s="12" t="n">
        <v>358</v>
      </c>
      <c r="AD15" s="12" t="n">
        <v>3255</v>
      </c>
    </row>
    <row r="16" customFormat="false" ht="15.75" hidden="false" customHeight="false" outlineLevel="0" collapsed="false">
      <c r="A16" s="42" t="n">
        <f aca="false">A15+1</f>
        <v>45792</v>
      </c>
      <c r="B16" s="38" t="n">
        <v>1502.50799957</v>
      </c>
      <c r="C16" s="38" t="n">
        <v>243.47399995</v>
      </c>
      <c r="D16" s="13" t="n">
        <f aca="false">W17-W16</f>
        <v>237</v>
      </c>
      <c r="E16" s="13" t="n">
        <f aca="false">D16*0.13</f>
        <v>30.81</v>
      </c>
      <c r="F16" s="13" t="n">
        <f aca="false">X17-X16</f>
        <v>94</v>
      </c>
      <c r="G16" s="13" t="n">
        <f aca="false">F16*0.13</f>
        <v>12.22</v>
      </c>
      <c r="H16" s="13" t="n">
        <v>134.566666666667</v>
      </c>
      <c r="I16" s="13" t="n">
        <v>20</v>
      </c>
      <c r="J16" s="19" t="n">
        <f aca="false">Z17-Z16</f>
        <v>2</v>
      </c>
      <c r="K16" s="12" t="n">
        <v>0</v>
      </c>
      <c r="L16" s="13" t="n">
        <v>42</v>
      </c>
      <c r="M16" s="13" t="n">
        <v>6</v>
      </c>
      <c r="N16" s="38" t="n">
        <v>256.60799941</v>
      </c>
      <c r="O16" s="38" t="n">
        <v>62.44799989</v>
      </c>
      <c r="P16" s="19" t="n">
        <f aca="false">AC17-AC16</f>
        <v>2</v>
      </c>
      <c r="Q16" s="12" t="n">
        <v>0</v>
      </c>
      <c r="R16" s="12" t="n">
        <v>0</v>
      </c>
      <c r="S16" s="19" t="n">
        <f aca="false">AD17-AD16</f>
        <v>11</v>
      </c>
      <c r="T16" s="12"/>
      <c r="U16" s="11"/>
      <c r="V16" s="20" t="n">
        <f aca="false">V15+1</f>
        <v>14</v>
      </c>
      <c r="W16" s="12" t="n">
        <v>5458</v>
      </c>
      <c r="X16" s="12" t="n">
        <v>7553</v>
      </c>
      <c r="Y16" s="12" t="n">
        <v>9200</v>
      </c>
      <c r="Z16" s="12" t="n">
        <v>10789</v>
      </c>
      <c r="AA16" s="12" t="n">
        <v>1269</v>
      </c>
      <c r="AB16" s="12" t="n">
        <v>3614</v>
      </c>
      <c r="AC16" s="12" t="n">
        <v>358</v>
      </c>
      <c r="AD16" s="12" t="n">
        <v>3255</v>
      </c>
    </row>
    <row r="17" customFormat="false" ht="15.75" hidden="false" customHeight="false" outlineLevel="0" collapsed="false">
      <c r="A17" s="42" t="n">
        <f aca="false">A16+1</f>
        <v>45793</v>
      </c>
      <c r="B17" s="38" t="n">
        <v>1190.1959995</v>
      </c>
      <c r="C17" s="38" t="n">
        <v>193.66199993</v>
      </c>
      <c r="D17" s="13" t="n">
        <f aca="false">W18-W17</f>
        <v>0</v>
      </c>
      <c r="E17" s="13" t="n">
        <f aca="false">D17*0.13</f>
        <v>0</v>
      </c>
      <c r="F17" s="13" t="n">
        <f aca="false">X18-X17</f>
        <v>0</v>
      </c>
      <c r="G17" s="13" t="n">
        <f aca="false">F17*0.13</f>
        <v>0</v>
      </c>
      <c r="H17" s="13" t="n">
        <v>134.566666666667</v>
      </c>
      <c r="I17" s="13" t="n">
        <v>20</v>
      </c>
      <c r="J17" s="19" t="n">
        <f aca="false">Z18-Z17</f>
        <v>0</v>
      </c>
      <c r="K17" s="12" t="n">
        <v>0</v>
      </c>
      <c r="L17" s="13" t="n">
        <v>42</v>
      </c>
      <c r="M17" s="13" t="n">
        <v>6</v>
      </c>
      <c r="N17" s="38" t="n">
        <v>255.16799938</v>
      </c>
      <c r="O17" s="38" t="n">
        <v>53.56799989</v>
      </c>
      <c r="P17" s="19" t="n">
        <f aca="false">AC18-AC17</f>
        <v>0</v>
      </c>
      <c r="Q17" s="12" t="n">
        <v>0</v>
      </c>
      <c r="R17" s="12" t="n">
        <v>0</v>
      </c>
      <c r="S17" s="19" t="n">
        <f aca="false">AD18-AD17</f>
        <v>0</v>
      </c>
      <c r="T17" s="12"/>
      <c r="U17" s="11"/>
      <c r="V17" s="20" t="n">
        <f aca="false">V16+1</f>
        <v>15</v>
      </c>
      <c r="W17" s="12" t="n">
        <v>5695</v>
      </c>
      <c r="X17" s="12" t="n">
        <v>7647</v>
      </c>
      <c r="Y17" s="12" t="n">
        <v>9209</v>
      </c>
      <c r="Z17" s="12" t="n">
        <v>10791</v>
      </c>
      <c r="AA17" s="12" t="n">
        <v>1269</v>
      </c>
      <c r="AB17" s="12" t="n">
        <v>3627</v>
      </c>
      <c r="AC17" s="12" t="n">
        <v>360</v>
      </c>
      <c r="AD17" s="12" t="n">
        <v>3266</v>
      </c>
    </row>
    <row r="18" customFormat="false" ht="15.75" hidden="false" customHeight="false" outlineLevel="0" collapsed="false">
      <c r="A18" s="42" t="n">
        <f aca="false">A17+1</f>
        <v>45794</v>
      </c>
      <c r="B18" s="38" t="n">
        <v>1061.50799948</v>
      </c>
      <c r="C18" s="38" t="n">
        <v>188.45399991</v>
      </c>
      <c r="D18" s="13" t="n">
        <f aca="false">W19-W18</f>
        <v>0</v>
      </c>
      <c r="E18" s="13" t="n">
        <f aca="false">D18*0.13</f>
        <v>0</v>
      </c>
      <c r="F18" s="13" t="n">
        <f aca="false">X19-X18</f>
        <v>0</v>
      </c>
      <c r="G18" s="13" t="n">
        <f aca="false">F18*0.13</f>
        <v>0</v>
      </c>
      <c r="H18" s="13" t="n">
        <v>134.566666666667</v>
      </c>
      <c r="I18" s="13" t="n">
        <v>20</v>
      </c>
      <c r="J18" s="19" t="n">
        <f aca="false">Z19-Z18</f>
        <v>0</v>
      </c>
      <c r="K18" s="12" t="n">
        <v>0</v>
      </c>
      <c r="L18" s="13" t="n">
        <v>42</v>
      </c>
      <c r="M18" s="13" t="n">
        <v>6</v>
      </c>
      <c r="N18" s="38" t="n">
        <v>274.51199934</v>
      </c>
      <c r="O18" s="38" t="n">
        <v>63.4319999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0</v>
      </c>
      <c r="T18" s="12"/>
      <c r="U18" s="11"/>
      <c r="V18" s="20" t="n">
        <f aca="false">V17+1</f>
        <v>16</v>
      </c>
      <c r="W18" s="12" t="n">
        <v>5695</v>
      </c>
      <c r="X18" s="12" t="n">
        <v>7647</v>
      </c>
      <c r="Y18" s="12" t="n">
        <v>9209</v>
      </c>
      <c r="Z18" s="12" t="n">
        <v>10791</v>
      </c>
      <c r="AA18" s="12" t="n">
        <v>1269</v>
      </c>
      <c r="AB18" s="12" t="n">
        <v>3627</v>
      </c>
      <c r="AC18" s="12" t="n">
        <v>360</v>
      </c>
      <c r="AD18" s="12" t="n">
        <v>3266</v>
      </c>
    </row>
    <row r="19" customFormat="false" ht="15.75" hidden="false" customHeight="false" outlineLevel="0" collapsed="false">
      <c r="A19" s="42" t="n">
        <f aca="false">A18+1</f>
        <v>45795</v>
      </c>
      <c r="B19" s="38" t="n">
        <v>954.743999529999</v>
      </c>
      <c r="C19" s="38" t="n">
        <v>166.73999991</v>
      </c>
      <c r="D19" s="13" t="n">
        <f aca="false">W20-W19</f>
        <v>0</v>
      </c>
      <c r="E19" s="13" t="n">
        <f aca="false">D19*0.13</f>
        <v>0</v>
      </c>
      <c r="F19" s="13" t="n">
        <f aca="false">X20-X19</f>
        <v>0</v>
      </c>
      <c r="G19" s="13" t="n">
        <f aca="false">F19*0.13</f>
        <v>0</v>
      </c>
      <c r="H19" s="13" t="n">
        <v>134.566666666667</v>
      </c>
      <c r="I19" s="13" t="n">
        <v>20</v>
      </c>
      <c r="J19" s="19" t="n">
        <f aca="false">Z20-Z19</f>
        <v>0</v>
      </c>
      <c r="K19" s="12" t="n">
        <v>0</v>
      </c>
      <c r="L19" s="13" t="n">
        <v>42</v>
      </c>
      <c r="M19" s="13" t="n">
        <v>6</v>
      </c>
      <c r="N19" s="38" t="n">
        <v>268.46399938</v>
      </c>
      <c r="O19" s="38" t="n">
        <v>63.91199993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/>
      <c r="U19" s="23"/>
      <c r="V19" s="20" t="n">
        <f aca="false">V18+1</f>
        <v>17</v>
      </c>
      <c r="W19" s="12" t="n">
        <v>5695</v>
      </c>
      <c r="X19" s="12" t="n">
        <v>7647</v>
      </c>
      <c r="Y19" s="12" t="n">
        <v>9209</v>
      </c>
      <c r="Z19" s="12" t="n">
        <v>10791</v>
      </c>
      <c r="AA19" s="12" t="n">
        <v>1269</v>
      </c>
      <c r="AB19" s="12" t="n">
        <v>3627</v>
      </c>
      <c r="AC19" s="12" t="n">
        <v>360</v>
      </c>
      <c r="AD19" s="12" t="n">
        <v>3266</v>
      </c>
    </row>
    <row r="20" customFormat="false" ht="15.75" hidden="false" customHeight="false" outlineLevel="0" collapsed="false">
      <c r="A20" s="42" t="n">
        <f aca="false">A19+1</f>
        <v>45796</v>
      </c>
      <c r="B20" s="38" t="n">
        <v>1453.70399948</v>
      </c>
      <c r="C20" s="38" t="n">
        <v>191.09999991</v>
      </c>
      <c r="D20" s="13" t="n">
        <f aca="false">W21-W20</f>
        <v>0</v>
      </c>
      <c r="E20" s="13" t="n">
        <f aca="false">D20*0.13</f>
        <v>0</v>
      </c>
      <c r="F20" s="13" t="n">
        <f aca="false">X21-X20</f>
        <v>0</v>
      </c>
      <c r="G20" s="13" t="n">
        <f aca="false">F20*0.13</f>
        <v>0</v>
      </c>
      <c r="H20" s="13" t="n">
        <v>134.566666666667</v>
      </c>
      <c r="I20" s="13" t="n">
        <v>20</v>
      </c>
      <c r="J20" s="19" t="n">
        <f aca="false">Z21-Z20</f>
        <v>0</v>
      </c>
      <c r="K20" s="12" t="n">
        <v>0</v>
      </c>
      <c r="L20" s="13" t="n">
        <v>42</v>
      </c>
      <c r="M20" s="13" t="n">
        <v>6</v>
      </c>
      <c r="N20" s="38" t="n">
        <v>256.2959994</v>
      </c>
      <c r="O20" s="38" t="n">
        <v>60.86399989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U20" s="11"/>
      <c r="V20" s="20" t="n">
        <f aca="false">V19+1</f>
        <v>18</v>
      </c>
      <c r="W20" s="12" t="n">
        <v>5695</v>
      </c>
      <c r="X20" s="12" t="n">
        <v>7647</v>
      </c>
      <c r="Y20" s="12" t="n">
        <v>9209</v>
      </c>
      <c r="Z20" s="12" t="n">
        <v>10791</v>
      </c>
      <c r="AA20" s="12" t="n">
        <v>1269</v>
      </c>
      <c r="AB20" s="12" t="n">
        <v>3627</v>
      </c>
      <c r="AC20" s="12" t="n">
        <v>360</v>
      </c>
      <c r="AD20" s="12" t="n">
        <v>3266</v>
      </c>
    </row>
    <row r="21" customFormat="false" ht="15.75" hidden="false" customHeight="false" outlineLevel="0" collapsed="false">
      <c r="A21" s="42" t="n">
        <f aca="false">A20+1</f>
        <v>45797</v>
      </c>
      <c r="B21" s="38" t="n">
        <v>1434.21599952</v>
      </c>
      <c r="C21" s="38" t="n">
        <v>203.40599991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13" t="n">
        <v>134.566666666667</v>
      </c>
      <c r="I21" s="13" t="n">
        <v>20</v>
      </c>
      <c r="J21" s="19" t="n">
        <f aca="false">Z22-Z21</f>
        <v>0</v>
      </c>
      <c r="K21" s="12" t="n">
        <v>0</v>
      </c>
      <c r="L21" s="13" t="n">
        <v>42</v>
      </c>
      <c r="M21" s="13" t="n">
        <v>6</v>
      </c>
      <c r="N21" s="38" t="n">
        <v>239.4479994</v>
      </c>
      <c r="O21" s="38" t="n">
        <v>61.0799999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0" t="n">
        <f aca="false">V20+1</f>
        <v>19</v>
      </c>
      <c r="W21" s="12" t="n">
        <v>5695</v>
      </c>
      <c r="X21" s="12" t="n">
        <v>7647</v>
      </c>
      <c r="Y21" s="12" t="n">
        <v>9209</v>
      </c>
      <c r="Z21" s="12" t="n">
        <v>10791</v>
      </c>
      <c r="AA21" s="12" t="n">
        <v>1269</v>
      </c>
      <c r="AB21" s="12" t="n">
        <v>3627</v>
      </c>
      <c r="AC21" s="12" t="n">
        <v>360</v>
      </c>
      <c r="AD21" s="12" t="n">
        <v>3266</v>
      </c>
    </row>
    <row r="22" customFormat="false" ht="15.75" hidden="false" customHeight="false" outlineLevel="0" collapsed="false">
      <c r="A22" s="42" t="n">
        <f aca="false">A21+1</f>
        <v>45798</v>
      </c>
      <c r="B22" s="38" t="n">
        <v>1410.90599953</v>
      </c>
      <c r="C22" s="38" t="n">
        <v>198.57599992</v>
      </c>
      <c r="D22" s="13" t="n">
        <f aca="false">W23-W22</f>
        <v>0</v>
      </c>
      <c r="E22" s="13" t="n">
        <f aca="false">D22*0.13</f>
        <v>0</v>
      </c>
      <c r="F22" s="13" t="n">
        <f aca="false">X23-X22</f>
        <v>0</v>
      </c>
      <c r="G22" s="13" t="n">
        <f aca="false">F22*0.13</f>
        <v>0</v>
      </c>
      <c r="H22" s="13" t="n">
        <v>134.566666666667</v>
      </c>
      <c r="I22" s="13" t="n">
        <v>20</v>
      </c>
      <c r="J22" s="19" t="n">
        <f aca="false">Z23-Z22</f>
        <v>0</v>
      </c>
      <c r="K22" s="12" t="n">
        <v>0</v>
      </c>
      <c r="L22" s="13" t="n">
        <v>42</v>
      </c>
      <c r="M22" s="13" t="n">
        <v>6</v>
      </c>
      <c r="N22" s="38" t="n">
        <v>279.91199947</v>
      </c>
      <c r="O22" s="38" t="n">
        <v>64.1519999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0" t="n">
        <f aca="false">V21+1</f>
        <v>20</v>
      </c>
      <c r="W22" s="12" t="n">
        <v>5695</v>
      </c>
      <c r="X22" s="12" t="n">
        <v>7647</v>
      </c>
      <c r="Y22" s="12" t="n">
        <v>9209</v>
      </c>
      <c r="Z22" s="12" t="n">
        <v>10791</v>
      </c>
      <c r="AA22" s="12" t="n">
        <v>1269</v>
      </c>
      <c r="AB22" s="12" t="n">
        <v>3627</v>
      </c>
      <c r="AC22" s="12" t="n">
        <v>360</v>
      </c>
      <c r="AD22" s="12" t="n">
        <v>3266</v>
      </c>
    </row>
    <row r="23" customFormat="false" ht="15.75" hidden="false" customHeight="false" outlineLevel="0" collapsed="false">
      <c r="A23" s="42" t="n">
        <f aca="false">A22+1</f>
        <v>45799</v>
      </c>
      <c r="B23" s="38" t="n">
        <v>1433.20799949</v>
      </c>
      <c r="C23" s="38" t="n">
        <v>208.6139999</v>
      </c>
      <c r="D23" s="13" t="n">
        <f aca="false">W24-W23</f>
        <v>0</v>
      </c>
      <c r="E23" s="13" t="n">
        <f aca="false">D23*0.13</f>
        <v>0</v>
      </c>
      <c r="F23" s="13" t="n">
        <f aca="false">X24-X23</f>
        <v>0</v>
      </c>
      <c r="G23" s="13" t="n">
        <f aca="false">F23*0.13</f>
        <v>0</v>
      </c>
      <c r="H23" s="13" t="n">
        <v>134.566666666667</v>
      </c>
      <c r="I23" s="13" t="n">
        <v>20</v>
      </c>
      <c r="J23" s="19" t="n">
        <f aca="false">Z24-Z23</f>
        <v>0</v>
      </c>
      <c r="K23" s="12" t="n">
        <v>0</v>
      </c>
      <c r="L23" s="13" t="n">
        <v>42</v>
      </c>
      <c r="M23" s="13" t="n">
        <v>6</v>
      </c>
      <c r="N23" s="38" t="n">
        <v>275.5199993</v>
      </c>
      <c r="O23" s="38" t="n">
        <v>63.16799989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0</v>
      </c>
      <c r="T23" s="12"/>
      <c r="U23" s="11"/>
      <c r="V23" s="20" t="n">
        <f aca="false">V22+1</f>
        <v>21</v>
      </c>
      <c r="W23" s="12" t="n">
        <v>5695</v>
      </c>
      <c r="X23" s="12" t="n">
        <v>7647</v>
      </c>
      <c r="Y23" s="12" t="n">
        <v>9209</v>
      </c>
      <c r="Z23" s="12" t="n">
        <v>10791</v>
      </c>
      <c r="AA23" s="12" t="n">
        <v>1269</v>
      </c>
      <c r="AB23" s="12" t="n">
        <v>3627</v>
      </c>
      <c r="AC23" s="12" t="n">
        <v>360</v>
      </c>
      <c r="AD23" s="12" t="n">
        <v>3266</v>
      </c>
    </row>
    <row r="24" customFormat="false" ht="15.75" hidden="false" customHeight="false" outlineLevel="0" collapsed="false">
      <c r="A24" s="42" t="n">
        <f aca="false">A23+1</f>
        <v>45800</v>
      </c>
      <c r="B24" s="38" t="n">
        <v>1203.55199951</v>
      </c>
      <c r="C24" s="38" t="n">
        <v>180.80999991</v>
      </c>
      <c r="D24" s="13" t="n">
        <f aca="false">W25-W24</f>
        <v>0</v>
      </c>
      <c r="E24" s="13" t="n">
        <f aca="false">D24*0.13</f>
        <v>0</v>
      </c>
      <c r="F24" s="13" t="n">
        <f aca="false">X25-X24</f>
        <v>0</v>
      </c>
      <c r="G24" s="13" t="n">
        <f aca="false">F24*0.13</f>
        <v>0</v>
      </c>
      <c r="H24" s="13" t="n">
        <v>134.566666666667</v>
      </c>
      <c r="I24" s="13" t="n">
        <v>20</v>
      </c>
      <c r="J24" s="19" t="n">
        <f aca="false">Z25-Z24</f>
        <v>0</v>
      </c>
      <c r="K24" s="12" t="n">
        <v>0</v>
      </c>
      <c r="L24" s="13" t="n">
        <v>42</v>
      </c>
      <c r="M24" s="13" t="n">
        <v>6</v>
      </c>
      <c r="N24" s="38" t="n">
        <v>296.15999938</v>
      </c>
      <c r="O24" s="38" t="n">
        <v>63.38399987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0</v>
      </c>
      <c r="T24" s="12"/>
      <c r="U24" s="11"/>
      <c r="V24" s="20" t="n">
        <f aca="false">V23+1</f>
        <v>22</v>
      </c>
      <c r="W24" s="12" t="n">
        <v>5695</v>
      </c>
      <c r="X24" s="12" t="n">
        <v>7647</v>
      </c>
      <c r="Y24" s="12" t="n">
        <v>9209</v>
      </c>
      <c r="Z24" s="12" t="n">
        <v>10791</v>
      </c>
      <c r="AA24" s="12" t="n">
        <v>1269</v>
      </c>
      <c r="AB24" s="12" t="n">
        <v>3627</v>
      </c>
      <c r="AC24" s="12" t="n">
        <v>360</v>
      </c>
      <c r="AD24" s="12" t="n">
        <v>3266</v>
      </c>
    </row>
    <row r="25" customFormat="false" ht="15.75" hidden="false" customHeight="false" outlineLevel="0" collapsed="false">
      <c r="A25" s="42" t="n">
        <f aca="false">A24+1</f>
        <v>45801</v>
      </c>
      <c r="B25" s="38" t="n">
        <v>1005.85799954</v>
      </c>
      <c r="C25" s="38" t="n">
        <v>171.31799996</v>
      </c>
      <c r="D25" s="13" t="n">
        <f aca="false">W26-W25</f>
        <v>0</v>
      </c>
      <c r="E25" s="13" t="n">
        <f aca="false">D25*0.13</f>
        <v>0</v>
      </c>
      <c r="F25" s="13" t="n">
        <f aca="false">X26-X25</f>
        <v>0</v>
      </c>
      <c r="G25" s="13" t="n">
        <f aca="false">F25*0.13</f>
        <v>0</v>
      </c>
      <c r="H25" s="13" t="n">
        <v>134.566666666667</v>
      </c>
      <c r="I25" s="13" t="n">
        <v>20</v>
      </c>
      <c r="J25" s="19" t="n">
        <f aca="false">Z26-Z25</f>
        <v>0</v>
      </c>
      <c r="K25" s="12" t="n">
        <v>0</v>
      </c>
      <c r="L25" s="13" t="n">
        <v>42</v>
      </c>
      <c r="M25" s="13" t="n">
        <v>6</v>
      </c>
      <c r="N25" s="38" t="n">
        <v>297.50399934</v>
      </c>
      <c r="O25" s="38" t="n">
        <v>58.94399991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0</v>
      </c>
      <c r="T25" s="12"/>
      <c r="U25" s="11"/>
      <c r="V25" s="20" t="n">
        <f aca="false">V24+1</f>
        <v>23</v>
      </c>
      <c r="W25" s="12" t="n">
        <v>5695</v>
      </c>
      <c r="X25" s="12" t="n">
        <v>7647</v>
      </c>
      <c r="Y25" s="12" t="n">
        <v>9209</v>
      </c>
      <c r="Z25" s="12" t="n">
        <v>10791</v>
      </c>
      <c r="AA25" s="12" t="n">
        <v>1269</v>
      </c>
      <c r="AB25" s="12" t="n">
        <v>3627</v>
      </c>
      <c r="AC25" s="12" t="n">
        <v>360</v>
      </c>
      <c r="AD25" s="12" t="n">
        <v>3266</v>
      </c>
    </row>
    <row r="26" customFormat="false" ht="15.75" hidden="false" customHeight="false" outlineLevel="0" collapsed="false">
      <c r="A26" s="42" t="n">
        <f aca="false">A25+1</f>
        <v>45802</v>
      </c>
      <c r="B26" s="38" t="n">
        <v>926.89799955</v>
      </c>
      <c r="C26" s="38" t="n">
        <v>167.11799995</v>
      </c>
      <c r="D26" s="13" t="n">
        <f aca="false">W27-W26</f>
        <v>0</v>
      </c>
      <c r="E26" s="13" t="n">
        <f aca="false">D26*0.13</f>
        <v>0</v>
      </c>
      <c r="F26" s="13" t="n">
        <f aca="false">X27-X26</f>
        <v>0</v>
      </c>
      <c r="G26" s="13" t="n">
        <f aca="false">F26*0.13</f>
        <v>0</v>
      </c>
      <c r="H26" s="13" t="n">
        <v>134.566666666667</v>
      </c>
      <c r="I26" s="13" t="n">
        <v>20</v>
      </c>
      <c r="J26" s="19" t="n">
        <f aca="false">Z27-Z26</f>
        <v>0</v>
      </c>
      <c r="K26" s="12" t="n">
        <v>0</v>
      </c>
      <c r="L26" s="13" t="n">
        <v>42</v>
      </c>
      <c r="M26" s="13" t="n">
        <v>6</v>
      </c>
      <c r="N26" s="38" t="n">
        <v>280.55999934</v>
      </c>
      <c r="O26" s="38" t="n">
        <v>56.8559999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U26" s="11"/>
      <c r="V26" s="53" t="n">
        <f aca="false">V25+1</f>
        <v>24</v>
      </c>
      <c r="W26" s="12" t="n">
        <v>5695</v>
      </c>
      <c r="X26" s="12" t="n">
        <v>7647</v>
      </c>
      <c r="Y26" s="12" t="n">
        <v>9209</v>
      </c>
      <c r="Z26" s="12" t="n">
        <v>10791</v>
      </c>
      <c r="AA26" s="12" t="n">
        <v>1269</v>
      </c>
      <c r="AB26" s="12" t="n">
        <v>3627</v>
      </c>
      <c r="AC26" s="12" t="n">
        <v>360</v>
      </c>
      <c r="AD26" s="12" t="n">
        <v>3266</v>
      </c>
    </row>
    <row r="27" customFormat="false" ht="15.75" hidden="false" customHeight="false" outlineLevel="0" collapsed="false">
      <c r="A27" s="42" t="n">
        <f aca="false">A26+1</f>
        <v>45803</v>
      </c>
      <c r="B27" s="38" t="n">
        <v>1441.73399946</v>
      </c>
      <c r="C27" s="38" t="n">
        <v>200.42399995</v>
      </c>
      <c r="D27" s="13" t="n">
        <f aca="false">W28-W27</f>
        <v>0</v>
      </c>
      <c r="E27" s="13" t="n">
        <f aca="false">D27*0.13</f>
        <v>0</v>
      </c>
      <c r="F27" s="13" t="n">
        <f aca="false">X28-X27</f>
        <v>0</v>
      </c>
      <c r="G27" s="13" t="n">
        <f aca="false">F27*0.13</f>
        <v>0</v>
      </c>
      <c r="H27" s="13" t="n">
        <v>134.566666666667</v>
      </c>
      <c r="I27" s="13" t="n">
        <v>20</v>
      </c>
      <c r="J27" s="19" t="n">
        <f aca="false">Z28-Z27</f>
        <v>0</v>
      </c>
      <c r="K27" s="12" t="n">
        <v>0</v>
      </c>
      <c r="L27" s="13" t="n">
        <v>42</v>
      </c>
      <c r="M27" s="13" t="n">
        <v>6</v>
      </c>
      <c r="N27" s="38" t="n">
        <v>241.24799938</v>
      </c>
      <c r="O27" s="38" t="n">
        <v>54.23999989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0</v>
      </c>
      <c r="T27" s="12"/>
      <c r="U27" s="11"/>
      <c r="V27" s="20" t="n">
        <f aca="false">V26+1</f>
        <v>25</v>
      </c>
      <c r="W27" s="12" t="n">
        <v>5695</v>
      </c>
      <c r="X27" s="12" t="n">
        <v>7647</v>
      </c>
      <c r="Y27" s="12" t="n">
        <v>9209</v>
      </c>
      <c r="Z27" s="12" t="n">
        <v>10791</v>
      </c>
      <c r="AA27" s="12" t="n">
        <v>1269</v>
      </c>
      <c r="AB27" s="12" t="n">
        <v>3627</v>
      </c>
      <c r="AC27" s="12" t="n">
        <v>360</v>
      </c>
      <c r="AD27" s="12" t="n">
        <v>3266</v>
      </c>
    </row>
    <row r="28" customFormat="false" ht="15.75" hidden="false" customHeight="false" outlineLevel="0" collapsed="false">
      <c r="A28" s="42" t="n">
        <f aca="false">A27+1</f>
        <v>45804</v>
      </c>
      <c r="B28" s="38" t="n">
        <v>1421.06999945</v>
      </c>
      <c r="C28" s="38" t="n">
        <v>219.70199994</v>
      </c>
      <c r="D28" s="13" t="n">
        <f aca="false">W29-W28</f>
        <v>0</v>
      </c>
      <c r="E28" s="13" t="n">
        <f aca="false">D28*0.13</f>
        <v>0</v>
      </c>
      <c r="F28" s="13" t="n">
        <f aca="false">X29-X28</f>
        <v>0</v>
      </c>
      <c r="G28" s="13" t="n">
        <f aca="false">F28*0.13</f>
        <v>0</v>
      </c>
      <c r="H28" s="13" t="n">
        <v>134.566666666667</v>
      </c>
      <c r="I28" s="13" t="n">
        <v>20</v>
      </c>
      <c r="J28" s="19" t="n">
        <f aca="false">Z29-Z28</f>
        <v>0</v>
      </c>
      <c r="K28" s="12" t="n">
        <v>0</v>
      </c>
      <c r="L28" s="13" t="n">
        <v>42</v>
      </c>
      <c r="M28" s="13" t="n">
        <v>6</v>
      </c>
      <c r="N28" s="38" t="n">
        <v>259.05599936</v>
      </c>
      <c r="O28" s="38" t="n">
        <v>58.77599989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0</v>
      </c>
      <c r="T28" s="12"/>
      <c r="U28" s="11"/>
      <c r="V28" s="20" t="n">
        <f aca="false">V27+1</f>
        <v>26</v>
      </c>
      <c r="W28" s="12" t="n">
        <v>5695</v>
      </c>
      <c r="X28" s="12" t="n">
        <v>7647</v>
      </c>
      <c r="Y28" s="12" t="n">
        <v>9209</v>
      </c>
      <c r="Z28" s="12" t="n">
        <v>10791</v>
      </c>
      <c r="AA28" s="12" t="n">
        <v>1269</v>
      </c>
      <c r="AB28" s="12" t="n">
        <v>3627</v>
      </c>
      <c r="AC28" s="12" t="n">
        <v>360</v>
      </c>
      <c r="AD28" s="12" t="n">
        <v>3266</v>
      </c>
    </row>
    <row r="29" customFormat="false" ht="15.75" hidden="false" customHeight="false" outlineLevel="0" collapsed="false">
      <c r="A29" s="42" t="n">
        <f aca="false">A28+1</f>
        <v>45805</v>
      </c>
      <c r="B29" s="38" t="n">
        <v>1439.67599948</v>
      </c>
      <c r="C29" s="38" t="n">
        <v>224.69999994</v>
      </c>
      <c r="D29" s="13" t="n">
        <f aca="false">W30-W29</f>
        <v>0</v>
      </c>
      <c r="E29" s="13" t="n">
        <f aca="false">D29*0.13</f>
        <v>0</v>
      </c>
      <c r="F29" s="13" t="n">
        <f aca="false">X30-X29</f>
        <v>0</v>
      </c>
      <c r="G29" s="13" t="n">
        <f aca="false">F29*0.13</f>
        <v>0</v>
      </c>
      <c r="H29" s="13" t="n">
        <v>134.566666666667</v>
      </c>
      <c r="I29" s="13" t="n">
        <v>20</v>
      </c>
      <c r="J29" s="19" t="n">
        <f aca="false">Z30-Z29</f>
        <v>0</v>
      </c>
      <c r="K29" s="12" t="n">
        <v>0</v>
      </c>
      <c r="L29" s="13" t="n">
        <v>42</v>
      </c>
      <c r="M29" s="13" t="n">
        <v>6</v>
      </c>
      <c r="N29" s="38" t="n">
        <v>239.87999931</v>
      </c>
      <c r="O29" s="38" t="n">
        <v>51.91199989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0</v>
      </c>
      <c r="T29" s="12"/>
      <c r="U29" s="11"/>
      <c r="V29" s="20" t="n">
        <f aca="false">V28+1</f>
        <v>27</v>
      </c>
      <c r="W29" s="12" t="n">
        <v>5695</v>
      </c>
      <c r="X29" s="12" t="n">
        <v>7647</v>
      </c>
      <c r="Y29" s="12" t="n">
        <v>9209</v>
      </c>
      <c r="Z29" s="12" t="n">
        <v>10791</v>
      </c>
      <c r="AA29" s="12" t="n">
        <v>1269</v>
      </c>
      <c r="AB29" s="12" t="n">
        <v>3627</v>
      </c>
      <c r="AC29" s="12" t="n">
        <v>360</v>
      </c>
      <c r="AD29" s="12" t="n">
        <v>3266</v>
      </c>
    </row>
    <row r="30" customFormat="false" ht="15.75" hidden="false" customHeight="false" outlineLevel="0" collapsed="false">
      <c r="A30" s="42" t="n">
        <f aca="false">A29+1</f>
        <v>45806</v>
      </c>
      <c r="B30" s="38" t="n">
        <v>1201.57799948</v>
      </c>
      <c r="C30" s="38" t="n">
        <v>175.9799999</v>
      </c>
      <c r="D30" s="13" t="n">
        <f aca="false">W31-W30</f>
        <v>656</v>
      </c>
      <c r="E30" s="13" t="n">
        <f aca="false">D30*0.13</f>
        <v>85.28</v>
      </c>
      <c r="F30" s="13" t="n">
        <f aca="false">X31-X30</f>
        <v>466</v>
      </c>
      <c r="G30" s="13" t="n">
        <f aca="false">F30*0.13</f>
        <v>60.58</v>
      </c>
      <c r="H30" s="13" t="n">
        <v>134.566666666667</v>
      </c>
      <c r="I30" s="13" t="n">
        <v>20</v>
      </c>
      <c r="J30" s="19" t="n">
        <f aca="false">Z31-Z30</f>
        <v>1010</v>
      </c>
      <c r="K30" s="12" t="n">
        <v>0</v>
      </c>
      <c r="L30" s="13" t="n">
        <v>42</v>
      </c>
      <c r="M30" s="13" t="n">
        <v>6</v>
      </c>
      <c r="N30" s="38" t="n">
        <v>227.54399938</v>
      </c>
      <c r="O30" s="38" t="n">
        <v>52.46399988</v>
      </c>
      <c r="P30" s="19" t="n">
        <f aca="false">AC31-AC30</f>
        <v>7</v>
      </c>
      <c r="Q30" s="12" t="n">
        <v>0</v>
      </c>
      <c r="R30" s="12" t="n">
        <v>0</v>
      </c>
      <c r="S30" s="19" t="n">
        <f aca="false">AD31-AD30</f>
        <v>50</v>
      </c>
      <c r="T30" s="12"/>
      <c r="U30" s="11"/>
      <c r="V30" s="20" t="n">
        <f aca="false">V29+1</f>
        <v>28</v>
      </c>
      <c r="W30" s="12" t="n">
        <v>5695</v>
      </c>
      <c r="X30" s="12" t="n">
        <v>7647</v>
      </c>
      <c r="Y30" s="12" t="n">
        <v>9209</v>
      </c>
      <c r="Z30" s="12" t="n">
        <v>10791</v>
      </c>
      <c r="AA30" s="12" t="n">
        <v>1269</v>
      </c>
      <c r="AB30" s="12" t="n">
        <v>3627</v>
      </c>
      <c r="AC30" s="12" t="n">
        <v>360</v>
      </c>
      <c r="AD30" s="12" t="n">
        <v>3266</v>
      </c>
    </row>
    <row r="31" customFormat="false" ht="15.75" hidden="false" customHeight="false" outlineLevel="0" collapsed="false">
      <c r="A31" s="42" t="n">
        <f aca="false">A30+1</f>
        <v>45807</v>
      </c>
      <c r="B31" s="38" t="n">
        <v>1046.76599951</v>
      </c>
      <c r="C31" s="38" t="n">
        <v>159.97799992</v>
      </c>
      <c r="D31" s="13" t="n">
        <f aca="false">W32-W31</f>
        <v>24</v>
      </c>
      <c r="E31" s="13" t="n">
        <f aca="false">D31*0.13</f>
        <v>3.12</v>
      </c>
      <c r="F31" s="13" t="n">
        <f aca="false">X32-X31</f>
        <v>23</v>
      </c>
      <c r="G31" s="13" t="n">
        <f aca="false">F31*0.13</f>
        <v>2.99</v>
      </c>
      <c r="H31" s="13" t="n">
        <v>134.566666666667</v>
      </c>
      <c r="I31" s="13" t="n">
        <v>20</v>
      </c>
      <c r="J31" s="19" t="n">
        <f aca="false">Z32-Z31</f>
        <v>1</v>
      </c>
      <c r="K31" s="12" t="n">
        <v>0</v>
      </c>
      <c r="L31" s="13" t="n">
        <v>42</v>
      </c>
      <c r="M31" s="13" t="n">
        <v>6</v>
      </c>
      <c r="N31" s="38" t="n">
        <v>242.11199936</v>
      </c>
      <c r="O31" s="38" t="n">
        <v>46.89599989</v>
      </c>
      <c r="P31" s="19" t="n">
        <f aca="false">AC32-AC31</f>
        <v>1</v>
      </c>
      <c r="Q31" s="12" t="n">
        <v>0</v>
      </c>
      <c r="R31" s="12" t="n">
        <v>0</v>
      </c>
      <c r="S31" s="19" t="n">
        <f aca="false">AD32-AD31</f>
        <v>2</v>
      </c>
      <c r="T31" s="12"/>
      <c r="U31" s="11"/>
      <c r="V31" s="20" t="n">
        <f aca="false">V30+1</f>
        <v>29</v>
      </c>
      <c r="W31" s="12" t="n">
        <v>6351</v>
      </c>
      <c r="X31" s="12" t="n">
        <v>8113</v>
      </c>
      <c r="Y31" s="12" t="n">
        <v>9260</v>
      </c>
      <c r="Z31" s="12" t="n">
        <v>11801</v>
      </c>
      <c r="AA31" s="12" t="n">
        <v>1270</v>
      </c>
      <c r="AB31" s="12" t="n">
        <v>3684</v>
      </c>
      <c r="AC31" s="12" t="n">
        <v>367</v>
      </c>
      <c r="AD31" s="12" t="n">
        <v>3316</v>
      </c>
    </row>
    <row r="32" customFormat="false" ht="15.75" hidden="false" customHeight="false" outlineLevel="0" collapsed="false">
      <c r="A32" s="42" t="n">
        <f aca="false">A31+1</f>
        <v>45808</v>
      </c>
      <c r="B32" s="38" t="n">
        <v>885.77999947</v>
      </c>
      <c r="C32" s="38" t="n">
        <v>148.55399993</v>
      </c>
      <c r="D32" s="13" t="n">
        <f aca="false">W33-W32</f>
        <v>0</v>
      </c>
      <c r="E32" s="13" t="n">
        <f aca="false">D32*0.13</f>
        <v>0</v>
      </c>
      <c r="F32" s="13" t="n">
        <f aca="false">X33-X32</f>
        <v>0</v>
      </c>
      <c r="G32" s="13" t="n">
        <f aca="false">F32*0.13</f>
        <v>0</v>
      </c>
      <c r="H32" s="13" t="n">
        <v>134.566666666667</v>
      </c>
      <c r="I32" s="13" t="n">
        <v>20</v>
      </c>
      <c r="J32" s="19" t="n">
        <f aca="false">Z33-Z32</f>
        <v>0</v>
      </c>
      <c r="K32" s="12" t="n">
        <v>0</v>
      </c>
      <c r="L32" s="13" t="n">
        <v>42</v>
      </c>
      <c r="M32" s="13" t="n">
        <v>6</v>
      </c>
      <c r="N32" s="38" t="n">
        <v>256.10399941</v>
      </c>
      <c r="O32" s="38" t="n">
        <v>52.22399991</v>
      </c>
      <c r="P32" s="19" t="n">
        <f aca="false">AC33-AC32</f>
        <v>0</v>
      </c>
      <c r="Q32" s="12" t="n">
        <v>0</v>
      </c>
      <c r="R32" s="12" t="n">
        <v>0</v>
      </c>
      <c r="S32" s="19" t="n">
        <f aca="false">AD33-AD32</f>
        <v>0</v>
      </c>
      <c r="T32" s="12"/>
      <c r="U32" s="11"/>
      <c r="V32" s="20" t="n">
        <f aca="false">V31+1</f>
        <v>30</v>
      </c>
      <c r="W32" s="12" t="n">
        <v>6375</v>
      </c>
      <c r="X32" s="12" t="n">
        <v>8136</v>
      </c>
      <c r="Y32" s="12" t="n">
        <v>9263</v>
      </c>
      <c r="Z32" s="12" t="n">
        <v>11802</v>
      </c>
      <c r="AA32" s="12" t="n">
        <v>1270</v>
      </c>
      <c r="AB32" s="12" t="n">
        <v>3687</v>
      </c>
      <c r="AC32" s="12" t="n">
        <v>368</v>
      </c>
      <c r="AD32" s="12" t="n">
        <v>3318</v>
      </c>
    </row>
    <row r="33" customFormat="false" ht="15.75" hidden="false" customHeight="false" outlineLevel="0" collapsed="false">
      <c r="U33" s="11"/>
      <c r="V33" s="20" t="n">
        <f aca="false">V32+1</f>
        <v>31</v>
      </c>
      <c r="W33" s="12" t="n">
        <v>6375</v>
      </c>
      <c r="X33" s="12" t="n">
        <v>8136</v>
      </c>
      <c r="Y33" s="12" t="n">
        <v>9263</v>
      </c>
      <c r="Z33" s="12" t="n">
        <v>11802</v>
      </c>
      <c r="AA33" s="12" t="n">
        <v>1270</v>
      </c>
      <c r="AB33" s="12" t="n">
        <v>3687</v>
      </c>
      <c r="AC33" s="12" t="n">
        <v>368</v>
      </c>
      <c r="AD33" s="12" t="n">
        <v>3318</v>
      </c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R35" activeCellId="0" sqref="R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8.57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9.71"/>
    <col collapsed="false" customWidth="true" hidden="false" outlineLevel="0" max="11" min="11" style="1" width="17.71"/>
    <col collapsed="false" customWidth="true" hidden="false" outlineLevel="0" max="12" min="12" style="1" width="13.42"/>
    <col collapsed="false" customWidth="true" hidden="false" outlineLevel="0" max="13" min="13" style="1" width="11.29"/>
    <col collapsed="false" customWidth="true" hidden="false" outlineLevel="0" max="14" min="14" style="1" width="14"/>
    <col collapsed="false" customWidth="true" hidden="false" outlineLevel="0" max="15" min="15" style="1" width="13.71"/>
    <col collapsed="false" customWidth="true" hidden="false" outlineLevel="0" max="16" min="16" style="1" width="7.42"/>
    <col collapsed="false" customWidth="true" hidden="false" outlineLevel="0" max="19" min="17" style="1" width="9.14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45748</v>
      </c>
      <c r="B2" s="38" t="n">
        <v>2112.09599947</v>
      </c>
      <c r="C2" s="38" t="n">
        <v>294.04199991</v>
      </c>
      <c r="D2" s="13" t="n">
        <f aca="false">W3-W2</f>
        <v>118</v>
      </c>
      <c r="E2" s="13" t="n">
        <f aca="false">D2*0.13</f>
        <v>15.34</v>
      </c>
      <c r="F2" s="13" t="n">
        <f aca="false">X3-X2</f>
        <v>122</v>
      </c>
      <c r="G2" s="13" t="n">
        <f aca="false">F2*0.13</f>
        <v>15.86</v>
      </c>
      <c r="H2" s="13" t="n">
        <v>136.866666666667</v>
      </c>
      <c r="I2" s="13" t="n">
        <v>20</v>
      </c>
      <c r="J2" s="19" t="n">
        <f aca="false">Z3-Z2</f>
        <v>0</v>
      </c>
      <c r="K2" s="12" t="n">
        <v>0</v>
      </c>
      <c r="L2" s="19" t="n">
        <v>35</v>
      </c>
      <c r="M2" s="19" t="n">
        <v>5</v>
      </c>
      <c r="N2" s="38" t="n">
        <v>375.88799939</v>
      </c>
      <c r="O2" s="38" t="n">
        <v>81.45599989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4</v>
      </c>
      <c r="T2" s="12"/>
      <c r="U2" s="11"/>
      <c r="V2" s="14" t="n">
        <v>0</v>
      </c>
      <c r="W2" s="48" t="n">
        <v>2812</v>
      </c>
      <c r="X2" s="48" t="n">
        <v>4489</v>
      </c>
      <c r="Y2" s="48" t="n">
        <v>9036</v>
      </c>
      <c r="Z2" s="48" t="n">
        <v>10758</v>
      </c>
      <c r="AA2" s="48" t="n">
        <v>1260</v>
      </c>
      <c r="AB2" s="48" t="n">
        <v>3408</v>
      </c>
      <c r="AC2" s="48" t="n">
        <v>338</v>
      </c>
      <c r="AD2" s="48" t="n">
        <v>3069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45749</v>
      </c>
      <c r="B3" s="38" t="n">
        <v>2138.5559994</v>
      </c>
      <c r="C3" s="38" t="n">
        <v>328.10399996</v>
      </c>
      <c r="D3" s="13" t="n">
        <f aca="false">W4-W3</f>
        <v>95</v>
      </c>
      <c r="E3" s="13" t="n">
        <f aca="false">D3*0.13</f>
        <v>12.35</v>
      </c>
      <c r="F3" s="13" t="n">
        <f aca="false">X4-X3</f>
        <v>125</v>
      </c>
      <c r="G3" s="13" t="n">
        <f aca="false">F3*0.13</f>
        <v>16.25</v>
      </c>
      <c r="H3" s="13" t="n">
        <v>136.866666666667</v>
      </c>
      <c r="I3" s="13" t="n">
        <v>20</v>
      </c>
      <c r="J3" s="19" t="n">
        <f aca="false">Z4-Z3</f>
        <v>2</v>
      </c>
      <c r="K3" s="12" t="n">
        <v>0</v>
      </c>
      <c r="L3" s="19" t="n">
        <v>35</v>
      </c>
      <c r="M3" s="19" t="n">
        <v>5</v>
      </c>
      <c r="N3" s="38" t="n">
        <v>387.81599939</v>
      </c>
      <c r="O3" s="38" t="n">
        <v>74.47199987</v>
      </c>
      <c r="P3" s="19" t="n">
        <f aca="false">AC4-AC3</f>
        <v>1</v>
      </c>
      <c r="Q3" s="12" t="n">
        <v>0</v>
      </c>
      <c r="R3" s="12" t="n">
        <v>0</v>
      </c>
      <c r="S3" s="19" t="n">
        <f aca="false">AD4-AD3</f>
        <v>6</v>
      </c>
      <c r="T3" s="12"/>
      <c r="U3" s="11"/>
      <c r="V3" s="18" t="n">
        <v>1</v>
      </c>
      <c r="W3" s="12" t="n">
        <v>2930</v>
      </c>
      <c r="X3" s="12" t="n">
        <v>4611</v>
      </c>
      <c r="Y3" s="12" t="n">
        <v>9038</v>
      </c>
      <c r="Z3" s="12" t="n">
        <v>10758</v>
      </c>
      <c r="AA3" s="12" t="n">
        <v>1260</v>
      </c>
      <c r="AB3" s="12" t="n">
        <v>3413</v>
      </c>
      <c r="AC3" s="12" t="n">
        <v>339</v>
      </c>
      <c r="AD3" s="12" t="n">
        <v>3073</v>
      </c>
    </row>
    <row r="4" customFormat="false" ht="15.75" hidden="false" customHeight="false" outlineLevel="0" collapsed="false">
      <c r="A4" s="42" t="n">
        <f aca="false">A3+1</f>
        <v>45750</v>
      </c>
      <c r="B4" s="38" t="n">
        <v>2095.29599941</v>
      </c>
      <c r="C4" s="38" t="n">
        <v>305.9699999</v>
      </c>
      <c r="D4" s="13" t="n">
        <f aca="false">W5-W4</f>
        <v>121</v>
      </c>
      <c r="E4" s="13" t="n">
        <f aca="false">D4*0.13</f>
        <v>15.73</v>
      </c>
      <c r="F4" s="13" t="n">
        <f aca="false">X5-X4</f>
        <v>75</v>
      </c>
      <c r="G4" s="13" t="n">
        <f aca="false">F4*0.13</f>
        <v>9.75</v>
      </c>
      <c r="H4" s="13" t="n">
        <v>136.866666666667</v>
      </c>
      <c r="I4" s="13" t="n">
        <v>20</v>
      </c>
      <c r="J4" s="19" t="n">
        <f aca="false">Z5-Z4</f>
        <v>1</v>
      </c>
      <c r="K4" s="12" t="n">
        <v>0</v>
      </c>
      <c r="L4" s="19" t="n">
        <v>35</v>
      </c>
      <c r="M4" s="19" t="n">
        <v>5</v>
      </c>
      <c r="N4" s="38" t="n">
        <v>366.23999933</v>
      </c>
      <c r="O4" s="38" t="n">
        <v>71.3279999</v>
      </c>
      <c r="P4" s="19" t="n">
        <f aca="false">AC5-AC4</f>
        <v>1</v>
      </c>
      <c r="Q4" s="12" t="n">
        <v>0</v>
      </c>
      <c r="R4" s="12" t="n">
        <v>0</v>
      </c>
      <c r="S4" s="19" t="n">
        <f aca="false">AD5-AD4</f>
        <v>4</v>
      </c>
      <c r="T4" s="12"/>
      <c r="U4" s="11"/>
      <c r="V4" s="20" t="n">
        <f aca="false">V3+1</f>
        <v>2</v>
      </c>
      <c r="W4" s="12" t="n">
        <v>3025</v>
      </c>
      <c r="X4" s="12" t="n">
        <v>4736</v>
      </c>
      <c r="Y4" s="12" t="n">
        <v>9043</v>
      </c>
      <c r="Z4" s="12" t="n">
        <v>10760</v>
      </c>
      <c r="AA4" s="12" t="n">
        <v>1261</v>
      </c>
      <c r="AB4" s="12" t="n">
        <v>3419</v>
      </c>
      <c r="AC4" s="12" t="n">
        <v>340</v>
      </c>
      <c r="AD4" s="12" t="n">
        <v>3079</v>
      </c>
    </row>
    <row r="5" customFormat="false" ht="15.75" hidden="false" customHeight="false" outlineLevel="0" collapsed="false">
      <c r="A5" s="42" t="n">
        <f aca="false">A4+1</f>
        <v>45751</v>
      </c>
      <c r="B5" s="38" t="n">
        <v>1633.75799951</v>
      </c>
      <c r="C5" s="38" t="n">
        <v>216.42599996</v>
      </c>
      <c r="D5" s="13" t="n">
        <f aca="false">W6-W5</f>
        <v>94</v>
      </c>
      <c r="E5" s="13" t="n">
        <f aca="false">D5*0.13</f>
        <v>12.22</v>
      </c>
      <c r="F5" s="13" t="n">
        <f aca="false">X6-X5</f>
        <v>103</v>
      </c>
      <c r="G5" s="13" t="n">
        <f aca="false">F5*0.13</f>
        <v>13.39</v>
      </c>
      <c r="H5" s="13" t="n">
        <v>136.866666666667</v>
      </c>
      <c r="I5" s="13" t="n">
        <v>20</v>
      </c>
      <c r="J5" s="19" t="n">
        <f aca="false">Z6-Z5</f>
        <v>1</v>
      </c>
      <c r="K5" s="12" t="n">
        <v>0</v>
      </c>
      <c r="L5" s="19" t="n">
        <v>35</v>
      </c>
      <c r="M5" s="19" t="n">
        <v>5</v>
      </c>
      <c r="N5" s="38" t="n">
        <v>359.03999928</v>
      </c>
      <c r="O5" s="38" t="n">
        <v>62.8799999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/>
      <c r="U5" s="11"/>
      <c r="V5" s="20" t="n">
        <f aca="false">V4+1</f>
        <v>3</v>
      </c>
      <c r="W5" s="12" t="n">
        <v>3146</v>
      </c>
      <c r="X5" s="12" t="n">
        <v>4811</v>
      </c>
      <c r="Y5" s="12" t="n">
        <v>9043</v>
      </c>
      <c r="Z5" s="12" t="n">
        <v>10761</v>
      </c>
      <c r="AA5" s="12" t="n">
        <v>1261</v>
      </c>
      <c r="AB5" s="12" t="n">
        <v>3424</v>
      </c>
      <c r="AC5" s="12" t="n">
        <v>341</v>
      </c>
      <c r="AD5" s="12" t="n">
        <v>3083</v>
      </c>
    </row>
    <row r="6" customFormat="false" ht="15.75" hidden="false" customHeight="false" outlineLevel="0" collapsed="false">
      <c r="A6" s="42" t="n">
        <f aca="false">A5+1</f>
        <v>45752</v>
      </c>
      <c r="B6" s="38" t="n">
        <v>1223.37599951</v>
      </c>
      <c r="C6" s="38" t="n">
        <v>229.48799995</v>
      </c>
      <c r="D6" s="13" t="n">
        <f aca="false">W7-W6</f>
        <v>61</v>
      </c>
      <c r="E6" s="13" t="n">
        <f aca="false">D6*0.13</f>
        <v>7.93</v>
      </c>
      <c r="F6" s="13" t="n">
        <f aca="false">X7-X6</f>
        <v>76</v>
      </c>
      <c r="G6" s="13" t="n">
        <f aca="false">F6*0.13</f>
        <v>9.88</v>
      </c>
      <c r="H6" s="13" t="n">
        <v>136.866666666667</v>
      </c>
      <c r="I6" s="13" t="n">
        <v>20</v>
      </c>
      <c r="J6" s="19" t="n">
        <f aca="false">Z7-Z6</f>
        <v>1</v>
      </c>
      <c r="K6" s="12" t="n">
        <v>0</v>
      </c>
      <c r="L6" s="19" t="n">
        <v>35</v>
      </c>
      <c r="M6" s="19" t="n">
        <v>5</v>
      </c>
      <c r="N6" s="38" t="n">
        <v>335.87999937</v>
      </c>
      <c r="O6" s="38" t="n">
        <v>69.88799988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4</v>
      </c>
      <c r="T6" s="12"/>
      <c r="U6" s="11"/>
      <c r="V6" s="20" t="n">
        <f aca="false">V5+1</f>
        <v>4</v>
      </c>
      <c r="W6" s="12" t="n">
        <v>3240</v>
      </c>
      <c r="X6" s="12" t="n">
        <v>4914</v>
      </c>
      <c r="Y6" s="12" t="n">
        <v>9048</v>
      </c>
      <c r="Z6" s="12" t="n">
        <v>10762</v>
      </c>
      <c r="AA6" s="12" t="n">
        <v>1261</v>
      </c>
      <c r="AB6" s="12" t="n">
        <v>3429</v>
      </c>
      <c r="AC6" s="12" t="n">
        <v>341</v>
      </c>
      <c r="AD6" s="12" t="n">
        <v>3088</v>
      </c>
    </row>
    <row r="7" customFormat="false" ht="15.75" hidden="false" customHeight="false" outlineLevel="0" collapsed="false">
      <c r="A7" s="42" t="n">
        <f aca="false">A6+1</f>
        <v>45753</v>
      </c>
      <c r="B7" s="38" t="n">
        <v>1189.01999958</v>
      </c>
      <c r="C7" s="38" t="n">
        <v>224.44799995</v>
      </c>
      <c r="D7" s="13" t="n">
        <f aca="false">W8-W7</f>
        <v>31</v>
      </c>
      <c r="E7" s="13" t="n">
        <f aca="false">D7*0.13</f>
        <v>4.03</v>
      </c>
      <c r="F7" s="13" t="n">
        <f aca="false">X8-X7</f>
        <v>132</v>
      </c>
      <c r="G7" s="13" t="n">
        <f aca="false">F7*0.13</f>
        <v>17.16</v>
      </c>
      <c r="H7" s="13" t="n">
        <v>136.866666666667</v>
      </c>
      <c r="I7" s="13" t="n">
        <v>20</v>
      </c>
      <c r="J7" s="19" t="n">
        <f aca="false">Z8-Z7</f>
        <v>0</v>
      </c>
      <c r="K7" s="12" t="n">
        <v>0</v>
      </c>
      <c r="L7" s="19" t="n">
        <v>35</v>
      </c>
      <c r="M7" s="19" t="n">
        <v>5</v>
      </c>
      <c r="N7" s="38" t="n">
        <v>350.32799936</v>
      </c>
      <c r="O7" s="38" t="n">
        <v>65.1359999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2</v>
      </c>
      <c r="T7" s="12"/>
      <c r="U7" s="11"/>
      <c r="V7" s="20" t="n">
        <f aca="false">V6+1</f>
        <v>5</v>
      </c>
      <c r="W7" s="12" t="n">
        <v>3301</v>
      </c>
      <c r="X7" s="12" t="n">
        <v>4990</v>
      </c>
      <c r="Y7" s="12" t="n">
        <v>9053</v>
      </c>
      <c r="Z7" s="12" t="n">
        <v>10763</v>
      </c>
      <c r="AA7" s="12" t="n">
        <v>1261</v>
      </c>
      <c r="AB7" s="12" t="n">
        <v>3435</v>
      </c>
      <c r="AC7" s="12" t="n">
        <v>342</v>
      </c>
      <c r="AD7" s="12" t="n">
        <v>3092</v>
      </c>
    </row>
    <row r="8" customFormat="false" ht="15.75" hidden="false" customHeight="false" outlineLevel="0" collapsed="false">
      <c r="A8" s="42" t="n">
        <f aca="false">A7+1</f>
        <v>45754</v>
      </c>
      <c r="B8" s="38" t="n">
        <v>1939.30799961</v>
      </c>
      <c r="C8" s="38" t="n">
        <v>277.03199991</v>
      </c>
      <c r="D8" s="13" t="n">
        <f aca="false">W9-W8</f>
        <v>37</v>
      </c>
      <c r="E8" s="13" t="n">
        <f aca="false">D8*0.13</f>
        <v>4.81</v>
      </c>
      <c r="F8" s="13" t="n">
        <f aca="false">X9-X8</f>
        <v>0</v>
      </c>
      <c r="G8" s="13" t="n">
        <f aca="false">F8*0.13</f>
        <v>0</v>
      </c>
      <c r="H8" s="13" t="n">
        <v>136.866666666667</v>
      </c>
      <c r="I8" s="13" t="n">
        <v>20</v>
      </c>
      <c r="J8" s="19" t="n">
        <f aca="false">Z9-Z8</f>
        <v>1</v>
      </c>
      <c r="K8" s="12" t="n">
        <v>0</v>
      </c>
      <c r="L8" s="19" t="n">
        <v>35</v>
      </c>
      <c r="M8" s="19" t="n">
        <v>5</v>
      </c>
      <c r="N8" s="38" t="n">
        <v>294.38399931</v>
      </c>
      <c r="O8" s="38" t="n">
        <v>52.10399989</v>
      </c>
      <c r="P8" s="19" t="n">
        <f aca="false">AC9-AC8</f>
        <v>0</v>
      </c>
      <c r="Q8" s="12" t="n">
        <v>0</v>
      </c>
      <c r="R8" s="12" t="n">
        <v>0</v>
      </c>
      <c r="S8" s="19" t="n">
        <f aca="false">AD9-AD8</f>
        <v>8</v>
      </c>
      <c r="T8" s="12"/>
      <c r="U8" s="11"/>
      <c r="V8" s="20" t="n">
        <f aca="false">V7+1</f>
        <v>6</v>
      </c>
      <c r="W8" s="12" t="n">
        <v>3332</v>
      </c>
      <c r="X8" s="12" t="n">
        <v>5122</v>
      </c>
      <c r="Y8" s="12" t="n">
        <v>9056</v>
      </c>
      <c r="Z8" s="12" t="n">
        <v>10763</v>
      </c>
      <c r="AA8" s="12" t="n">
        <v>1261</v>
      </c>
      <c r="AB8" s="12" t="n">
        <v>3437</v>
      </c>
      <c r="AC8" s="12" t="n">
        <v>342</v>
      </c>
      <c r="AD8" s="12" t="n">
        <v>3094</v>
      </c>
    </row>
    <row r="9" customFormat="false" ht="15.75" hidden="false" customHeight="false" outlineLevel="0" collapsed="false">
      <c r="A9" s="42" t="n">
        <f aca="false">A8+1</f>
        <v>45755</v>
      </c>
      <c r="B9" s="38" t="n">
        <v>1861.85999957</v>
      </c>
      <c r="C9" s="38" t="n">
        <v>324.91199992</v>
      </c>
      <c r="D9" s="13" t="n">
        <f aca="false">W10-W9</f>
        <v>92</v>
      </c>
      <c r="E9" s="13" t="n">
        <f aca="false">D9*0.13</f>
        <v>11.96</v>
      </c>
      <c r="F9" s="13" t="n">
        <f aca="false">X10-X9</f>
        <v>82</v>
      </c>
      <c r="G9" s="13" t="n">
        <f aca="false">F9*0.13</f>
        <v>10.66</v>
      </c>
      <c r="H9" s="13" t="n">
        <v>136.866666666667</v>
      </c>
      <c r="I9" s="13" t="n">
        <v>20</v>
      </c>
      <c r="J9" s="19" t="n">
        <f aca="false">Z10-Z9</f>
        <v>1</v>
      </c>
      <c r="K9" s="12" t="n">
        <v>0</v>
      </c>
      <c r="L9" s="19" t="n">
        <v>35</v>
      </c>
      <c r="M9" s="19" t="n">
        <v>5</v>
      </c>
      <c r="N9" s="38" t="n">
        <v>320.71199932</v>
      </c>
      <c r="O9" s="38" t="n">
        <v>71.32799994</v>
      </c>
      <c r="P9" s="19" t="n">
        <f aca="false">AC10-AC9</f>
        <v>1</v>
      </c>
      <c r="Q9" s="12" t="n">
        <v>0</v>
      </c>
      <c r="R9" s="12" t="n">
        <v>0</v>
      </c>
      <c r="S9" s="19" t="n">
        <f aca="false">AD10-AD9</f>
        <v>2</v>
      </c>
      <c r="T9" s="12"/>
      <c r="U9" s="11"/>
      <c r="V9" s="20" t="n">
        <f aca="false">V8+1</f>
        <v>7</v>
      </c>
      <c r="W9" s="12" t="n">
        <v>3369</v>
      </c>
      <c r="X9" s="12" t="n">
        <v>5122</v>
      </c>
      <c r="Y9" s="12" t="n">
        <v>9059</v>
      </c>
      <c r="Z9" s="12" t="n">
        <v>10764</v>
      </c>
      <c r="AA9" s="12" t="n">
        <v>1262</v>
      </c>
      <c r="AB9" s="12" t="n">
        <v>3445</v>
      </c>
      <c r="AC9" s="12" t="n">
        <v>342</v>
      </c>
      <c r="AD9" s="12" t="n">
        <v>3102</v>
      </c>
    </row>
    <row r="10" customFormat="false" ht="15.75" hidden="false" customHeight="false" outlineLevel="0" collapsed="false">
      <c r="A10" s="42" t="n">
        <f aca="false">A9+1</f>
        <v>45756</v>
      </c>
      <c r="B10" s="38" t="n">
        <v>2011.16999957</v>
      </c>
      <c r="C10" s="38" t="n">
        <v>272.2019999</v>
      </c>
      <c r="D10" s="13" t="n">
        <f aca="false">W11-W10</f>
        <v>80</v>
      </c>
      <c r="E10" s="13" t="n">
        <f aca="false">D10*0.13</f>
        <v>10.4</v>
      </c>
      <c r="F10" s="13" t="n">
        <f aca="false">X11-X10</f>
        <v>36</v>
      </c>
      <c r="G10" s="13" t="n">
        <f aca="false">F10*0.13</f>
        <v>4.68</v>
      </c>
      <c r="H10" s="13" t="n">
        <v>136.866666666667</v>
      </c>
      <c r="I10" s="13" t="n">
        <v>20</v>
      </c>
      <c r="J10" s="19" t="n">
        <f aca="false">Z11-Z10</f>
        <v>0</v>
      </c>
      <c r="K10" s="12" t="n">
        <v>0</v>
      </c>
      <c r="L10" s="19" t="n">
        <v>35</v>
      </c>
      <c r="M10" s="19" t="n">
        <v>5</v>
      </c>
      <c r="N10" s="38" t="n">
        <v>326.35199935</v>
      </c>
      <c r="O10" s="38" t="n">
        <v>74.8319999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6</v>
      </c>
      <c r="T10" s="12"/>
      <c r="U10" s="11"/>
      <c r="V10" s="20" t="n">
        <f aca="false">V9+1</f>
        <v>8</v>
      </c>
      <c r="W10" s="12" t="n">
        <v>3461</v>
      </c>
      <c r="X10" s="12" t="n">
        <v>5204</v>
      </c>
      <c r="Y10" s="12" t="n">
        <v>9059</v>
      </c>
      <c r="Z10" s="12" t="n">
        <v>10765</v>
      </c>
      <c r="AA10" s="12" t="n">
        <v>1262</v>
      </c>
      <c r="AB10" s="12" t="n">
        <v>3447</v>
      </c>
      <c r="AC10" s="12" t="n">
        <v>343</v>
      </c>
      <c r="AD10" s="12" t="n">
        <v>3104</v>
      </c>
    </row>
    <row r="11" customFormat="false" ht="15.75" hidden="false" customHeight="false" outlineLevel="0" collapsed="false">
      <c r="A11" s="42" t="n">
        <f aca="false">A10+1</f>
        <v>45757</v>
      </c>
      <c r="B11" s="38" t="n">
        <v>1939.18199942</v>
      </c>
      <c r="C11" s="38" t="n">
        <v>280.72799995</v>
      </c>
      <c r="D11" s="13" t="n">
        <f aca="false">W12-W11</f>
        <v>106</v>
      </c>
      <c r="E11" s="13" t="n">
        <f aca="false">D11*0.13</f>
        <v>13.78</v>
      </c>
      <c r="F11" s="13" t="n">
        <f aca="false">X12-X11</f>
        <v>76</v>
      </c>
      <c r="G11" s="13" t="n">
        <f aca="false">F11*0.13</f>
        <v>9.88</v>
      </c>
      <c r="H11" s="13" t="n">
        <v>136.866666666667</v>
      </c>
      <c r="I11" s="13" t="n">
        <v>20</v>
      </c>
      <c r="J11" s="19" t="n">
        <f aca="false">Z12-Z11</f>
        <v>0</v>
      </c>
      <c r="K11" s="12" t="n">
        <v>0</v>
      </c>
      <c r="L11" s="19" t="n">
        <v>35</v>
      </c>
      <c r="M11" s="19" t="n">
        <v>5</v>
      </c>
      <c r="N11" s="38" t="n">
        <v>311.44799939</v>
      </c>
      <c r="O11" s="38" t="n">
        <v>73.53599988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4</v>
      </c>
      <c r="T11" s="12"/>
      <c r="U11" s="11"/>
      <c r="V11" s="20" t="n">
        <f aca="false">V10+1</f>
        <v>9</v>
      </c>
      <c r="W11" s="12" t="n">
        <v>3541</v>
      </c>
      <c r="X11" s="12" t="n">
        <v>5240</v>
      </c>
      <c r="Y11" s="12" t="n">
        <v>9059</v>
      </c>
      <c r="Z11" s="12" t="n">
        <v>10765</v>
      </c>
      <c r="AA11" s="12" t="n">
        <v>1262</v>
      </c>
      <c r="AB11" s="12" t="n">
        <v>3454</v>
      </c>
      <c r="AC11" s="12" t="n">
        <v>344</v>
      </c>
      <c r="AD11" s="12" t="n">
        <v>3110</v>
      </c>
    </row>
    <row r="12" customFormat="false" ht="15.75" hidden="false" customHeight="false" outlineLevel="0" collapsed="false">
      <c r="A12" s="42" t="n">
        <f aca="false">A11+1</f>
        <v>45758</v>
      </c>
      <c r="B12" s="38" t="n">
        <v>1614.31199946</v>
      </c>
      <c r="C12" s="38" t="n">
        <v>248.09399988</v>
      </c>
      <c r="D12" s="13" t="n">
        <f aca="false">W13-W12</f>
        <v>70</v>
      </c>
      <c r="E12" s="13" t="n">
        <f aca="false">D12*0.13</f>
        <v>9.1</v>
      </c>
      <c r="F12" s="13" t="n">
        <f aca="false">X13-X12</f>
        <v>16</v>
      </c>
      <c r="G12" s="13" t="n">
        <f aca="false">F12*0.13</f>
        <v>2.08</v>
      </c>
      <c r="H12" s="13" t="n">
        <v>136.866666666667</v>
      </c>
      <c r="I12" s="13" t="n">
        <v>20</v>
      </c>
      <c r="J12" s="19" t="n">
        <f aca="false">Z13-Z12</f>
        <v>0</v>
      </c>
      <c r="K12" s="12" t="n">
        <v>0</v>
      </c>
      <c r="L12" s="19" t="n">
        <v>35</v>
      </c>
      <c r="M12" s="19" t="n">
        <v>5</v>
      </c>
      <c r="N12" s="38" t="n">
        <v>359.03999935</v>
      </c>
      <c r="O12" s="38" t="n">
        <v>73.46399991</v>
      </c>
      <c r="P12" s="19" t="n">
        <f aca="false">AC13-AC12</f>
        <v>1</v>
      </c>
      <c r="Q12" s="12" t="n">
        <v>0</v>
      </c>
      <c r="R12" s="12" t="n">
        <v>0</v>
      </c>
      <c r="S12" s="19" t="n">
        <f aca="false">AD13-AD12</f>
        <v>4</v>
      </c>
      <c r="T12" s="12"/>
      <c r="U12" s="11"/>
      <c r="V12" s="20" t="n">
        <f aca="false">V11+1</f>
        <v>10</v>
      </c>
      <c r="W12" s="12" t="n">
        <v>3647</v>
      </c>
      <c r="X12" s="12" t="n">
        <v>5316</v>
      </c>
      <c r="Y12" s="12" t="n">
        <v>9059</v>
      </c>
      <c r="Z12" s="12" t="n">
        <v>10765</v>
      </c>
      <c r="AA12" s="12" t="n">
        <v>1262</v>
      </c>
      <c r="AB12" s="12" t="n">
        <v>3459</v>
      </c>
      <c r="AC12" s="12" t="n">
        <v>344</v>
      </c>
      <c r="AD12" s="12" t="n">
        <v>3114</v>
      </c>
    </row>
    <row r="13" customFormat="false" ht="15.75" hidden="false" customHeight="false" outlineLevel="0" collapsed="false">
      <c r="A13" s="42" t="n">
        <f aca="false">A12+1</f>
        <v>45759</v>
      </c>
      <c r="B13" s="38" t="n">
        <v>1184.48399942</v>
      </c>
      <c r="C13" s="38" t="n">
        <v>193.87199995</v>
      </c>
      <c r="D13" s="13" t="n">
        <f aca="false">W14-W13</f>
        <v>102</v>
      </c>
      <c r="E13" s="13" t="n">
        <f aca="false">D13*0.13</f>
        <v>13.26</v>
      </c>
      <c r="F13" s="13" t="n">
        <f aca="false">X14-X13</f>
        <v>139</v>
      </c>
      <c r="G13" s="13" t="n">
        <f aca="false">F13*0.13</f>
        <v>18.07</v>
      </c>
      <c r="H13" s="13" t="n">
        <v>136.866666666667</v>
      </c>
      <c r="I13" s="13" t="n">
        <v>20</v>
      </c>
      <c r="J13" s="19" t="n">
        <f aca="false">Z14-Z13</f>
        <v>2</v>
      </c>
      <c r="K13" s="12" t="n">
        <v>0</v>
      </c>
      <c r="L13" s="19" t="n">
        <v>35</v>
      </c>
      <c r="M13" s="19" t="n">
        <v>5</v>
      </c>
      <c r="N13" s="38" t="n">
        <v>343.77599935</v>
      </c>
      <c r="O13" s="38" t="n">
        <v>68.47199991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4</v>
      </c>
      <c r="T13" s="12"/>
      <c r="U13" s="11"/>
      <c r="V13" s="20" t="n">
        <f aca="false">V12+1</f>
        <v>11</v>
      </c>
      <c r="W13" s="12" t="n">
        <v>3717</v>
      </c>
      <c r="X13" s="12" t="n">
        <v>5332</v>
      </c>
      <c r="Y13" s="12" t="n">
        <v>9072</v>
      </c>
      <c r="Z13" s="12" t="n">
        <v>10765</v>
      </c>
      <c r="AA13" s="12" t="n">
        <v>1262</v>
      </c>
      <c r="AB13" s="12" t="n">
        <v>3464</v>
      </c>
      <c r="AC13" s="12" t="n">
        <v>345</v>
      </c>
      <c r="AD13" s="12" t="n">
        <v>3118</v>
      </c>
    </row>
    <row r="14" customFormat="false" ht="15.75" hidden="false" customHeight="false" outlineLevel="0" collapsed="false">
      <c r="A14" s="42" t="n">
        <f aca="false">A13+1</f>
        <v>45760</v>
      </c>
      <c r="B14" s="38" t="n">
        <v>1116.94799955</v>
      </c>
      <c r="C14" s="38" t="n">
        <v>186.81599992</v>
      </c>
      <c r="D14" s="13" t="n">
        <f aca="false">W15-W14</f>
        <v>16</v>
      </c>
      <c r="E14" s="13" t="n">
        <f aca="false">D14*0.13</f>
        <v>2.08</v>
      </c>
      <c r="F14" s="13" t="n">
        <f aca="false">X15-X14</f>
        <v>67</v>
      </c>
      <c r="G14" s="13" t="n">
        <f aca="false">F14*0.13</f>
        <v>8.71</v>
      </c>
      <c r="H14" s="13" t="n">
        <v>136.866666666667</v>
      </c>
      <c r="I14" s="13" t="n">
        <v>20</v>
      </c>
      <c r="J14" s="19" t="n">
        <f aca="false">Z15-Z14</f>
        <v>1</v>
      </c>
      <c r="K14" s="12" t="n">
        <v>0</v>
      </c>
      <c r="L14" s="19" t="n">
        <v>35</v>
      </c>
      <c r="M14" s="19" t="n">
        <v>5</v>
      </c>
      <c r="N14" s="38" t="n">
        <v>337.10399932</v>
      </c>
      <c r="O14" s="38" t="n">
        <v>60.50399987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13</v>
      </c>
      <c r="T14" s="12"/>
      <c r="U14" s="11"/>
      <c r="V14" s="20" t="n">
        <f aca="false">V13+1</f>
        <v>12</v>
      </c>
      <c r="W14" s="12" t="n">
        <v>3819</v>
      </c>
      <c r="X14" s="12" t="n">
        <v>5471</v>
      </c>
      <c r="Y14" s="12" t="n">
        <v>9076</v>
      </c>
      <c r="Z14" s="12" t="n">
        <v>10767</v>
      </c>
      <c r="AA14" s="12" t="n">
        <v>1263</v>
      </c>
      <c r="AB14" s="12" t="n">
        <v>3469</v>
      </c>
      <c r="AC14" s="12" t="n">
        <v>346</v>
      </c>
      <c r="AD14" s="12" t="n">
        <v>3122</v>
      </c>
    </row>
    <row r="15" customFormat="false" ht="15.75" hidden="false" customHeight="false" outlineLevel="0" collapsed="false">
      <c r="A15" s="42" t="n">
        <f aca="false">A14+1</f>
        <v>45761</v>
      </c>
      <c r="B15" s="38" t="n">
        <v>1968.66599944</v>
      </c>
      <c r="C15" s="38" t="n">
        <v>260.18999995</v>
      </c>
      <c r="D15" s="13" t="n">
        <f aca="false">W16-W15</f>
        <v>44</v>
      </c>
      <c r="E15" s="13" t="n">
        <f aca="false">D15*0.13</f>
        <v>5.72</v>
      </c>
      <c r="F15" s="13" t="n">
        <f aca="false">X16-X15</f>
        <v>60</v>
      </c>
      <c r="G15" s="13" t="n">
        <f aca="false">F15*0.13</f>
        <v>7.8</v>
      </c>
      <c r="H15" s="13" t="n">
        <v>136.866666666667</v>
      </c>
      <c r="I15" s="13" t="n">
        <v>20</v>
      </c>
      <c r="J15" s="19" t="n">
        <v>1</v>
      </c>
      <c r="K15" s="12" t="n">
        <v>0</v>
      </c>
      <c r="L15" s="19" t="n">
        <v>35</v>
      </c>
      <c r="M15" s="19" t="n">
        <v>5</v>
      </c>
      <c r="N15" s="38" t="n">
        <v>355.60799933</v>
      </c>
      <c r="O15" s="38" t="n">
        <v>67.7759999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U15" s="11"/>
      <c r="V15" s="20" t="n">
        <f aca="false">V14+1</f>
        <v>13</v>
      </c>
      <c r="W15" s="12" t="n">
        <v>3835</v>
      </c>
      <c r="X15" s="12" t="n">
        <v>5538</v>
      </c>
      <c r="Y15" s="12" t="n">
        <v>9081</v>
      </c>
      <c r="Z15" s="12" t="n">
        <v>10768</v>
      </c>
      <c r="AA15" s="12" t="n">
        <v>1263</v>
      </c>
      <c r="AB15" s="12" t="n">
        <v>3472</v>
      </c>
      <c r="AC15" s="12" t="n">
        <v>346</v>
      </c>
      <c r="AD15" s="12" t="n">
        <v>3135</v>
      </c>
    </row>
    <row r="16" customFormat="false" ht="15.75" hidden="false" customHeight="false" outlineLevel="0" collapsed="false">
      <c r="A16" s="42" t="n">
        <f aca="false">A15+1</f>
        <v>45762</v>
      </c>
      <c r="B16" s="38" t="n">
        <v>1926.32999948</v>
      </c>
      <c r="C16" s="38" t="n">
        <v>272.49599992</v>
      </c>
      <c r="D16" s="13" t="n">
        <f aca="false">W17-W16</f>
        <v>80</v>
      </c>
      <c r="E16" s="13" t="n">
        <f aca="false">D16*0.13</f>
        <v>10.4</v>
      </c>
      <c r="F16" s="13" t="n">
        <f aca="false">X17-X16</f>
        <v>62</v>
      </c>
      <c r="G16" s="13" t="n">
        <f aca="false">F16*0.13</f>
        <v>8.06</v>
      </c>
      <c r="H16" s="13" t="n">
        <v>136.866666666667</v>
      </c>
      <c r="I16" s="13" t="n">
        <v>20</v>
      </c>
      <c r="J16" s="19" t="n">
        <f aca="false">Z17-Z16</f>
        <v>1</v>
      </c>
      <c r="K16" s="12" t="n">
        <v>0</v>
      </c>
      <c r="L16" s="19" t="n">
        <v>35</v>
      </c>
      <c r="M16" s="19" t="n">
        <v>5</v>
      </c>
      <c r="N16" s="38" t="n">
        <v>349.77599942</v>
      </c>
      <c r="O16" s="38" t="n">
        <v>63.71999991</v>
      </c>
      <c r="P16" s="19" t="n">
        <f aca="false">AC17-AC16</f>
        <v>1</v>
      </c>
      <c r="Q16" s="12" t="n">
        <v>0</v>
      </c>
      <c r="R16" s="12" t="n">
        <v>0</v>
      </c>
      <c r="S16" s="19" t="n">
        <f aca="false">AD17-AD16</f>
        <v>0</v>
      </c>
      <c r="T16" s="12"/>
      <c r="U16" s="11"/>
      <c r="V16" s="20" t="n">
        <f aca="false">V15+1</f>
        <v>14</v>
      </c>
      <c r="W16" s="12" t="n">
        <v>3879</v>
      </c>
      <c r="X16" s="12" t="n">
        <v>5598</v>
      </c>
      <c r="Y16" s="12" t="n">
        <v>9085</v>
      </c>
      <c r="Z16" s="12" t="n">
        <v>10769</v>
      </c>
      <c r="AA16" s="12" t="n">
        <v>1263</v>
      </c>
      <c r="AB16" s="12" t="n">
        <v>3480</v>
      </c>
      <c r="AC16" s="12" t="n">
        <v>346</v>
      </c>
      <c r="AD16" s="12" t="n">
        <v>3135</v>
      </c>
    </row>
    <row r="17" customFormat="false" ht="15.75" hidden="false" customHeight="false" outlineLevel="0" collapsed="false">
      <c r="A17" s="42" t="n">
        <f aca="false">A16+1</f>
        <v>45763</v>
      </c>
      <c r="B17" s="38" t="n">
        <v>1717.37999953</v>
      </c>
      <c r="C17" s="38" t="n">
        <v>221.96999994</v>
      </c>
      <c r="D17" s="13" t="n">
        <f aca="false">W18-W17</f>
        <v>103</v>
      </c>
      <c r="E17" s="13" t="n">
        <f aca="false">D17*0.13</f>
        <v>13.39</v>
      </c>
      <c r="F17" s="13" t="n">
        <f aca="false">X18-X17</f>
        <v>39</v>
      </c>
      <c r="G17" s="13" t="n">
        <f aca="false">F17*0.13</f>
        <v>5.07</v>
      </c>
      <c r="H17" s="13" t="n">
        <v>136.866666666667</v>
      </c>
      <c r="I17" s="13" t="n">
        <v>20</v>
      </c>
      <c r="J17" s="19" t="n">
        <f aca="false">Z18-Z17</f>
        <v>1</v>
      </c>
      <c r="K17" s="12" t="n">
        <v>0</v>
      </c>
      <c r="L17" s="19" t="n">
        <v>35</v>
      </c>
      <c r="M17" s="19" t="n">
        <v>5</v>
      </c>
      <c r="N17" s="38" t="n">
        <v>332.68799938</v>
      </c>
      <c r="O17" s="38" t="n">
        <v>65.23199991</v>
      </c>
      <c r="P17" s="19" t="n">
        <f aca="false">AC18-AC17</f>
        <v>3</v>
      </c>
      <c r="Q17" s="12" t="n">
        <v>0</v>
      </c>
      <c r="R17" s="12" t="n">
        <v>0</v>
      </c>
      <c r="S17" s="19" t="n">
        <f aca="false">AD18-AD17</f>
        <v>6</v>
      </c>
      <c r="T17" s="12"/>
      <c r="U17" s="11"/>
      <c r="V17" s="20" t="n">
        <f aca="false">V16+1</f>
        <v>15</v>
      </c>
      <c r="W17" s="12" t="n">
        <v>3959</v>
      </c>
      <c r="X17" s="12" t="n">
        <v>5660</v>
      </c>
      <c r="Y17" s="12" t="n">
        <v>9090</v>
      </c>
      <c r="Z17" s="12" t="n">
        <v>10770</v>
      </c>
      <c r="AA17" s="12" t="n">
        <v>1264</v>
      </c>
      <c r="AB17" s="12" t="n">
        <v>3482</v>
      </c>
      <c r="AC17" s="12" t="n">
        <v>347</v>
      </c>
      <c r="AD17" s="12" t="n">
        <v>3135</v>
      </c>
    </row>
    <row r="18" customFormat="false" ht="15.75" hidden="false" customHeight="false" outlineLevel="0" collapsed="false">
      <c r="A18" s="42" t="n">
        <f aca="false">A17+1</f>
        <v>45764</v>
      </c>
      <c r="B18" s="38" t="n">
        <v>1408.5959995</v>
      </c>
      <c r="C18" s="38" t="n">
        <v>216.00599991</v>
      </c>
      <c r="D18" s="13" t="n">
        <f aca="false">W19-W18</f>
        <v>143</v>
      </c>
      <c r="E18" s="13" t="n">
        <f aca="false">D18*0.13</f>
        <v>18.59</v>
      </c>
      <c r="F18" s="13" t="n">
        <f aca="false">X19-X18</f>
        <v>182</v>
      </c>
      <c r="G18" s="13" t="n">
        <f aca="false">F18*0.13</f>
        <v>23.66</v>
      </c>
      <c r="H18" s="13" t="n">
        <v>136.866666666667</v>
      </c>
      <c r="I18" s="13" t="n">
        <v>20</v>
      </c>
      <c r="J18" s="19" t="n">
        <f aca="false">Z19-Z18</f>
        <v>1</v>
      </c>
      <c r="K18" s="12" t="n">
        <v>0</v>
      </c>
      <c r="L18" s="19" t="n">
        <v>35</v>
      </c>
      <c r="M18" s="19" t="n">
        <v>5</v>
      </c>
      <c r="N18" s="38" t="n">
        <v>369.98399939</v>
      </c>
      <c r="O18" s="38" t="n">
        <v>66.83999991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10</v>
      </c>
      <c r="T18" s="12"/>
      <c r="U18" s="11"/>
      <c r="V18" s="20" t="n">
        <f aca="false">V17+1</f>
        <v>16</v>
      </c>
      <c r="W18" s="12" t="n">
        <v>4062</v>
      </c>
      <c r="X18" s="12" t="n">
        <v>5699</v>
      </c>
      <c r="Y18" s="12" t="n">
        <v>9092</v>
      </c>
      <c r="Z18" s="12" t="n">
        <v>10771</v>
      </c>
      <c r="AA18" s="12" t="n">
        <v>1264</v>
      </c>
      <c r="AB18" s="12" t="n">
        <v>3484</v>
      </c>
      <c r="AC18" s="12" t="n">
        <v>350</v>
      </c>
      <c r="AD18" s="12" t="n">
        <v>3141</v>
      </c>
    </row>
    <row r="19" customFormat="false" ht="15.75" hidden="false" customHeight="false" outlineLevel="0" collapsed="false">
      <c r="A19" s="42" t="n">
        <f aca="false">A18+1</f>
        <v>45765</v>
      </c>
      <c r="B19" s="38" t="n">
        <v>1072.17599948</v>
      </c>
      <c r="C19" s="38" t="n">
        <v>72.99599997</v>
      </c>
      <c r="D19" s="13" t="n">
        <f aca="false">W20-W19</f>
        <v>0</v>
      </c>
      <c r="E19" s="13" t="n">
        <f aca="false">D19*0.13</f>
        <v>0</v>
      </c>
      <c r="F19" s="13" t="n">
        <f aca="false">X20-X19</f>
        <v>0</v>
      </c>
      <c r="G19" s="13" t="n">
        <f aca="false">F19*0.13</f>
        <v>0</v>
      </c>
      <c r="H19" s="13" t="n">
        <v>136.866666666667</v>
      </c>
      <c r="I19" s="13" t="n">
        <v>20</v>
      </c>
      <c r="J19" s="19" t="n">
        <f aca="false">Z20-Z19</f>
        <v>0</v>
      </c>
      <c r="K19" s="12" t="n">
        <v>0</v>
      </c>
      <c r="L19" s="19" t="n">
        <v>35</v>
      </c>
      <c r="M19" s="19" t="n">
        <v>5</v>
      </c>
      <c r="N19" s="38" t="n">
        <v>347.08799931</v>
      </c>
      <c r="O19" s="38" t="n">
        <v>54.31199992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/>
      <c r="U19" s="23"/>
      <c r="V19" s="20" t="n">
        <f aca="false">V18+1</f>
        <v>17</v>
      </c>
      <c r="W19" s="12" t="n">
        <v>4205</v>
      </c>
      <c r="X19" s="12" t="n">
        <v>5881</v>
      </c>
      <c r="Y19" s="12" t="n">
        <v>9101</v>
      </c>
      <c r="Z19" s="12" t="n">
        <v>10772</v>
      </c>
      <c r="AA19" s="12" t="n">
        <v>1264</v>
      </c>
      <c r="AB19" s="12" t="n">
        <v>3500</v>
      </c>
      <c r="AC19" s="12" t="n">
        <v>350</v>
      </c>
      <c r="AD19" s="12" t="n">
        <v>3151</v>
      </c>
    </row>
    <row r="20" customFormat="false" ht="15.75" hidden="false" customHeight="false" outlineLevel="0" collapsed="false">
      <c r="A20" s="42" t="n">
        <f aca="false">A19+1</f>
        <v>45766</v>
      </c>
      <c r="B20" s="38" t="n">
        <v>1128.7499995</v>
      </c>
      <c r="C20" s="38" t="n">
        <v>195.00599991</v>
      </c>
      <c r="D20" s="13" t="n">
        <f aca="false">W21-W20</f>
        <v>11</v>
      </c>
      <c r="E20" s="13" t="n">
        <f aca="false">D20*0.13</f>
        <v>1.43</v>
      </c>
      <c r="F20" s="13" t="n">
        <f aca="false">X21-X20</f>
        <v>50</v>
      </c>
      <c r="G20" s="13" t="n">
        <f aca="false">F20*0.13</f>
        <v>6.5</v>
      </c>
      <c r="H20" s="13" t="n">
        <v>136.866666666667</v>
      </c>
      <c r="I20" s="13" t="n">
        <v>20</v>
      </c>
      <c r="J20" s="19" t="n">
        <f aca="false">Z21-Z20</f>
        <v>0</v>
      </c>
      <c r="K20" s="12" t="n">
        <v>0</v>
      </c>
      <c r="L20" s="19" t="n">
        <v>35</v>
      </c>
      <c r="M20" s="19" t="n">
        <v>5</v>
      </c>
      <c r="N20" s="38" t="n">
        <v>330.11999932</v>
      </c>
      <c r="O20" s="38" t="n">
        <v>63.40799991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18</v>
      </c>
      <c r="T20" s="12"/>
      <c r="U20" s="11"/>
      <c r="V20" s="20" t="n">
        <f aca="false">V19+1</f>
        <v>18</v>
      </c>
      <c r="W20" s="12" t="n">
        <v>4205</v>
      </c>
      <c r="X20" s="12" t="n">
        <v>5881</v>
      </c>
      <c r="Y20" s="12" t="n">
        <v>9101</v>
      </c>
      <c r="Z20" s="12" t="n">
        <v>10772</v>
      </c>
      <c r="AA20" s="12" t="n">
        <v>1264</v>
      </c>
      <c r="AB20" s="12" t="n">
        <v>3500</v>
      </c>
      <c r="AC20" s="12" t="n">
        <v>350</v>
      </c>
      <c r="AD20" s="12" t="n">
        <v>3151</v>
      </c>
    </row>
    <row r="21" customFormat="false" ht="15.75" hidden="false" customHeight="false" outlineLevel="0" collapsed="false">
      <c r="A21" s="42" t="n">
        <f aca="false">A20+1</f>
        <v>45767</v>
      </c>
      <c r="B21" s="38" t="n">
        <v>1144.41599956</v>
      </c>
      <c r="C21" s="38" t="n">
        <v>217.55999991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13" t="n">
        <v>136.866666666667</v>
      </c>
      <c r="I21" s="13" t="n">
        <v>20</v>
      </c>
      <c r="J21" s="19" t="n">
        <f aca="false">Z22-Z21</f>
        <v>0</v>
      </c>
      <c r="K21" s="12" t="n">
        <v>0</v>
      </c>
      <c r="L21" s="19" t="n">
        <v>35</v>
      </c>
      <c r="M21" s="19" t="n">
        <v>5</v>
      </c>
      <c r="N21" s="38" t="n">
        <v>355.00799933</v>
      </c>
      <c r="O21" s="38" t="n">
        <v>70.0559999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0" t="n">
        <f aca="false">V20+1</f>
        <v>19</v>
      </c>
      <c r="W21" s="12" t="n">
        <v>4216</v>
      </c>
      <c r="X21" s="12" t="n">
        <v>5931</v>
      </c>
      <c r="Y21" s="12" t="n">
        <v>9103</v>
      </c>
      <c r="Z21" s="12" t="n">
        <v>10772</v>
      </c>
      <c r="AA21" s="12" t="n">
        <v>1264</v>
      </c>
      <c r="AB21" s="12" t="n">
        <v>3516</v>
      </c>
      <c r="AC21" s="12" t="n">
        <v>350</v>
      </c>
      <c r="AD21" s="12" t="n">
        <v>3169</v>
      </c>
    </row>
    <row r="22" customFormat="false" ht="15.75" hidden="false" customHeight="false" outlineLevel="0" collapsed="false">
      <c r="A22" s="42" t="n">
        <f aca="false">A21+1</f>
        <v>45768</v>
      </c>
      <c r="B22" s="38" t="n">
        <v>1194.31199944</v>
      </c>
      <c r="C22" s="38" t="n">
        <v>231.20999989</v>
      </c>
      <c r="D22" s="13" t="n">
        <f aca="false">W23-W22</f>
        <v>60</v>
      </c>
      <c r="E22" s="13" t="n">
        <f aca="false">D22*0.13</f>
        <v>7.8</v>
      </c>
      <c r="F22" s="13" t="n">
        <f aca="false">X23-X22</f>
        <v>148</v>
      </c>
      <c r="G22" s="13" t="n">
        <f aca="false">F22*0.13</f>
        <v>19.24</v>
      </c>
      <c r="H22" s="13" t="n">
        <v>136.866666666667</v>
      </c>
      <c r="I22" s="13" t="n">
        <v>20</v>
      </c>
      <c r="J22" s="19" t="n">
        <f aca="false">Z23-Z22</f>
        <v>2</v>
      </c>
      <c r="K22" s="12" t="n">
        <v>0</v>
      </c>
      <c r="L22" s="19" t="n">
        <v>35</v>
      </c>
      <c r="M22" s="19" t="n">
        <v>5</v>
      </c>
      <c r="N22" s="38" t="n">
        <v>355.84799933</v>
      </c>
      <c r="O22" s="38" t="n">
        <v>77.25599989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0" t="n">
        <f aca="false">V21+1</f>
        <v>20</v>
      </c>
      <c r="W22" s="12" t="n">
        <v>4216</v>
      </c>
      <c r="X22" s="12" t="n">
        <v>5931</v>
      </c>
      <c r="Y22" s="12" t="n">
        <v>9103</v>
      </c>
      <c r="Z22" s="12" t="n">
        <v>10772</v>
      </c>
      <c r="AA22" s="12" t="n">
        <v>1264</v>
      </c>
      <c r="AB22" s="12" t="n">
        <v>3516</v>
      </c>
      <c r="AC22" s="12" t="n">
        <v>350</v>
      </c>
      <c r="AD22" s="12" t="n">
        <v>3169</v>
      </c>
    </row>
    <row r="23" customFormat="false" ht="15.75" hidden="false" customHeight="false" outlineLevel="0" collapsed="false">
      <c r="A23" s="42" t="n">
        <f aca="false">A22+1</f>
        <v>45769</v>
      </c>
      <c r="B23" s="38" t="n">
        <v>1992.77399945</v>
      </c>
      <c r="C23" s="38" t="n">
        <v>285.72599991</v>
      </c>
      <c r="D23" s="13" t="n">
        <f aca="false">W24-W23</f>
        <v>34</v>
      </c>
      <c r="E23" s="13" t="n">
        <f aca="false">D23*0.13</f>
        <v>4.42</v>
      </c>
      <c r="F23" s="13" t="n">
        <f aca="false">X24-X23</f>
        <v>147</v>
      </c>
      <c r="G23" s="13" t="n">
        <f aca="false">F23*0.13</f>
        <v>19.11</v>
      </c>
      <c r="H23" s="13" t="n">
        <v>136.866666666667</v>
      </c>
      <c r="I23" s="13" t="n">
        <v>20</v>
      </c>
      <c r="J23" s="19" t="n">
        <f aca="false">Z24-Z23</f>
        <v>0</v>
      </c>
      <c r="K23" s="12" t="n">
        <v>0</v>
      </c>
      <c r="L23" s="19" t="n">
        <v>35</v>
      </c>
      <c r="M23" s="19" t="n">
        <v>5</v>
      </c>
      <c r="N23" s="38" t="n">
        <v>367.22399936</v>
      </c>
      <c r="O23" s="38" t="n">
        <v>81.31199988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2</v>
      </c>
      <c r="T23" s="12"/>
      <c r="U23" s="11"/>
      <c r="V23" s="20" t="n">
        <f aca="false">V22+1</f>
        <v>21</v>
      </c>
      <c r="W23" s="12" t="n">
        <v>4276</v>
      </c>
      <c r="X23" s="12" t="n">
        <v>6079</v>
      </c>
      <c r="Y23" s="12" t="n">
        <v>9112</v>
      </c>
      <c r="Z23" s="12" t="n">
        <v>10774</v>
      </c>
      <c r="AA23" s="12" t="n">
        <v>1265</v>
      </c>
      <c r="AB23" s="12" t="n">
        <v>3516</v>
      </c>
      <c r="AC23" s="12" t="n">
        <v>350</v>
      </c>
      <c r="AD23" s="12" t="n">
        <v>3169</v>
      </c>
    </row>
    <row r="24" customFormat="false" ht="15.75" hidden="false" customHeight="false" outlineLevel="0" collapsed="false">
      <c r="A24" s="42" t="n">
        <f aca="false">A23+1</f>
        <v>45770</v>
      </c>
      <c r="B24" s="38" t="n">
        <v>1732.8359995</v>
      </c>
      <c r="C24" s="38" t="n">
        <v>242.33999993</v>
      </c>
      <c r="D24" s="13" t="n">
        <f aca="false">W25-W24</f>
        <v>91</v>
      </c>
      <c r="E24" s="13" t="n">
        <f aca="false">D24*0.13</f>
        <v>11.83</v>
      </c>
      <c r="F24" s="13" t="n">
        <f aca="false">X25-X24</f>
        <v>16</v>
      </c>
      <c r="G24" s="13" t="n">
        <f aca="false">F24*0.13</f>
        <v>2.08</v>
      </c>
      <c r="H24" s="13" t="n">
        <v>136.866666666667</v>
      </c>
      <c r="I24" s="13" t="n">
        <v>20</v>
      </c>
      <c r="J24" s="19" t="n">
        <f aca="false">Z25-Z24</f>
        <v>0</v>
      </c>
      <c r="K24" s="12" t="n">
        <v>0</v>
      </c>
      <c r="L24" s="19" t="n">
        <v>35</v>
      </c>
      <c r="M24" s="19" t="n">
        <v>5</v>
      </c>
      <c r="N24" s="38" t="n">
        <v>338.49599933</v>
      </c>
      <c r="O24" s="38" t="n">
        <v>60.69599992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8</v>
      </c>
      <c r="T24" s="12"/>
      <c r="U24" s="11"/>
      <c r="V24" s="20" t="n">
        <f aca="false">V23+1</f>
        <v>22</v>
      </c>
      <c r="W24" s="12" t="n">
        <v>4310</v>
      </c>
      <c r="X24" s="12" t="n">
        <v>6226</v>
      </c>
      <c r="Y24" s="12" t="n">
        <v>9114</v>
      </c>
      <c r="Z24" s="12" t="n">
        <v>10774</v>
      </c>
      <c r="AA24" s="12" t="n">
        <v>1265</v>
      </c>
      <c r="AB24" s="12" t="n">
        <v>3521</v>
      </c>
      <c r="AC24" s="12" t="n">
        <v>350</v>
      </c>
      <c r="AD24" s="12" t="n">
        <v>3171</v>
      </c>
    </row>
    <row r="25" customFormat="false" ht="15.75" hidden="false" customHeight="false" outlineLevel="0" collapsed="false">
      <c r="A25" s="42" t="n">
        <f aca="false">A24+1</f>
        <v>45771</v>
      </c>
      <c r="B25" s="38" t="n">
        <v>1563.49199954</v>
      </c>
      <c r="C25" s="38" t="n">
        <v>220.12199993</v>
      </c>
      <c r="D25" s="13" t="n">
        <f aca="false">W26-W25</f>
        <v>93</v>
      </c>
      <c r="E25" s="13" t="n">
        <f aca="false">D25*0.13</f>
        <v>12.09</v>
      </c>
      <c r="F25" s="13" t="n">
        <f aca="false">X26-X25</f>
        <v>41</v>
      </c>
      <c r="G25" s="13" t="n">
        <f aca="false">F25*0.13</f>
        <v>5.33</v>
      </c>
      <c r="H25" s="13" t="n">
        <v>136.866666666667</v>
      </c>
      <c r="I25" s="13" t="n">
        <v>20</v>
      </c>
      <c r="J25" s="19" t="n">
        <f aca="false">Z26-Z25</f>
        <v>2</v>
      </c>
      <c r="K25" s="12" t="n">
        <v>0</v>
      </c>
      <c r="L25" s="19" t="n">
        <v>35</v>
      </c>
      <c r="M25" s="19" t="n">
        <v>5</v>
      </c>
      <c r="N25" s="38" t="n">
        <v>288.43199934</v>
      </c>
      <c r="O25" s="38" t="n">
        <v>55.27199989</v>
      </c>
      <c r="P25" s="19" t="n">
        <f aca="false">AC26-AC25</f>
        <v>1</v>
      </c>
      <c r="Q25" s="12" t="n">
        <v>0</v>
      </c>
      <c r="R25" s="12" t="n">
        <v>0</v>
      </c>
      <c r="S25" s="19" t="n">
        <f aca="false">AD26-AD25</f>
        <v>1</v>
      </c>
      <c r="T25" s="12"/>
      <c r="U25" s="11"/>
      <c r="V25" s="20" t="n">
        <f aca="false">V24+1</f>
        <v>23</v>
      </c>
      <c r="W25" s="12" t="n">
        <v>4401</v>
      </c>
      <c r="X25" s="12" t="n">
        <v>6242</v>
      </c>
      <c r="Y25" s="12" t="n">
        <v>9119</v>
      </c>
      <c r="Z25" s="12" t="n">
        <v>10774</v>
      </c>
      <c r="AA25" s="12" t="n">
        <v>1265</v>
      </c>
      <c r="AB25" s="12" t="n">
        <v>3524</v>
      </c>
      <c r="AC25" s="12" t="n">
        <v>350</v>
      </c>
      <c r="AD25" s="12" t="n">
        <v>3179</v>
      </c>
    </row>
    <row r="26" customFormat="false" ht="15.75" hidden="false" customHeight="false" outlineLevel="0" collapsed="false">
      <c r="A26" s="42" t="n">
        <f aca="false">A25+1</f>
        <v>45772</v>
      </c>
      <c r="B26" s="38" t="n">
        <v>1265.83799952</v>
      </c>
      <c r="C26" s="38" t="n">
        <v>193.07399991</v>
      </c>
      <c r="D26" s="13" t="n">
        <f aca="false">W27-W26</f>
        <v>75</v>
      </c>
      <c r="E26" s="13" t="n">
        <f aca="false">D26*0.13</f>
        <v>9.75</v>
      </c>
      <c r="F26" s="13" t="n">
        <f aca="false">X27-X26</f>
        <v>106</v>
      </c>
      <c r="G26" s="13" t="n">
        <f aca="false">F26*0.13</f>
        <v>13.78</v>
      </c>
      <c r="H26" s="13" t="n">
        <v>136.866666666667</v>
      </c>
      <c r="I26" s="13" t="n">
        <v>20</v>
      </c>
      <c r="J26" s="19" t="n">
        <f aca="false">Z27-Z26</f>
        <v>0</v>
      </c>
      <c r="K26" s="12" t="n">
        <v>0</v>
      </c>
      <c r="L26" s="19" t="n">
        <v>35</v>
      </c>
      <c r="M26" s="19" t="n">
        <v>5</v>
      </c>
      <c r="N26" s="38" t="n">
        <v>317.99999935</v>
      </c>
      <c r="O26" s="38" t="n">
        <v>55.15199992</v>
      </c>
      <c r="P26" s="19" t="n">
        <f aca="false">AC27-AC26</f>
        <v>1</v>
      </c>
      <c r="Q26" s="12" t="n">
        <v>0</v>
      </c>
      <c r="R26" s="12" t="n">
        <v>0</v>
      </c>
      <c r="S26" s="19" t="n">
        <f aca="false">AD27-AD26</f>
        <v>4</v>
      </c>
      <c r="T26" s="12"/>
      <c r="U26" s="11"/>
      <c r="V26" s="53" t="n">
        <f aca="false">V25+1</f>
        <v>24</v>
      </c>
      <c r="W26" s="12" t="n">
        <v>4494</v>
      </c>
      <c r="X26" s="12" t="n">
        <v>6283</v>
      </c>
      <c r="Y26" s="12" t="n">
        <v>9121</v>
      </c>
      <c r="Z26" s="12" t="n">
        <v>10776</v>
      </c>
      <c r="AA26" s="12" t="n">
        <v>1265</v>
      </c>
      <c r="AB26" s="12" t="n">
        <v>3532</v>
      </c>
      <c r="AC26" s="12" t="n">
        <v>351</v>
      </c>
      <c r="AD26" s="12" t="n">
        <v>3180</v>
      </c>
    </row>
    <row r="27" customFormat="false" ht="15.75" hidden="false" customHeight="false" outlineLevel="0" collapsed="false">
      <c r="A27" s="42" t="n">
        <f aca="false">A26+1</f>
        <v>45773</v>
      </c>
      <c r="B27" s="38" t="n">
        <v>1262.30999956</v>
      </c>
      <c r="C27" s="38" t="n">
        <v>208.61399994</v>
      </c>
      <c r="D27" s="13" t="n">
        <f aca="false">W28-W27</f>
        <v>34</v>
      </c>
      <c r="E27" s="13" t="n">
        <f aca="false">D27*0.13</f>
        <v>4.42</v>
      </c>
      <c r="F27" s="13" t="n">
        <f aca="false">X28-X27</f>
        <v>68</v>
      </c>
      <c r="G27" s="13" t="n">
        <f aca="false">F27*0.13</f>
        <v>8.84</v>
      </c>
      <c r="H27" s="13" t="n">
        <v>136.866666666667</v>
      </c>
      <c r="I27" s="13" t="n">
        <v>20</v>
      </c>
      <c r="J27" s="19" t="n">
        <f aca="false">Z28-Z27</f>
        <v>1</v>
      </c>
      <c r="K27" s="12" t="n">
        <v>0</v>
      </c>
      <c r="L27" s="19" t="n">
        <v>35</v>
      </c>
      <c r="M27" s="19" t="n">
        <v>5</v>
      </c>
      <c r="N27" s="38" t="n">
        <v>352.12799942</v>
      </c>
      <c r="O27" s="38" t="n">
        <v>62.06399991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4</v>
      </c>
      <c r="T27" s="12"/>
      <c r="U27" s="11"/>
      <c r="V27" s="20" t="n">
        <f aca="false">V26+1</f>
        <v>25</v>
      </c>
      <c r="W27" s="12" t="n">
        <v>4569</v>
      </c>
      <c r="X27" s="12" t="n">
        <v>6389</v>
      </c>
      <c r="Y27" s="12" t="n">
        <v>9128</v>
      </c>
      <c r="Z27" s="12" t="n">
        <v>10776</v>
      </c>
      <c r="AA27" s="12" t="n">
        <v>1265</v>
      </c>
      <c r="AB27" s="12" t="n">
        <v>3536</v>
      </c>
      <c r="AC27" s="12" t="n">
        <v>352</v>
      </c>
      <c r="AD27" s="12" t="n">
        <v>3184</v>
      </c>
    </row>
    <row r="28" customFormat="false" ht="15.75" hidden="false" customHeight="false" outlineLevel="0" collapsed="false">
      <c r="A28" s="42" t="n">
        <f aca="false">A27+1</f>
        <v>45774</v>
      </c>
      <c r="B28" s="38" t="n">
        <v>1230.30599944</v>
      </c>
      <c r="C28" s="38" t="n">
        <v>212.01599993</v>
      </c>
      <c r="D28" s="13" t="n">
        <f aca="false">W29-W28</f>
        <v>57</v>
      </c>
      <c r="E28" s="13" t="n">
        <f aca="false">D28*0.13</f>
        <v>7.41</v>
      </c>
      <c r="F28" s="13" t="n">
        <f aca="false">X29-X28</f>
        <v>94</v>
      </c>
      <c r="G28" s="13" t="n">
        <f aca="false">F28*0.13</f>
        <v>12.22</v>
      </c>
      <c r="H28" s="13" t="n">
        <v>136.866666666667</v>
      </c>
      <c r="I28" s="13" t="n">
        <v>20</v>
      </c>
      <c r="J28" s="19" t="n">
        <f aca="false">Z29-Z28</f>
        <v>1</v>
      </c>
      <c r="K28" s="12" t="n">
        <v>0</v>
      </c>
      <c r="L28" s="19" t="n">
        <v>35</v>
      </c>
      <c r="M28" s="19" t="n">
        <v>5</v>
      </c>
      <c r="N28" s="38" t="n">
        <v>367.31999937</v>
      </c>
      <c r="O28" s="38" t="n">
        <v>79.70399991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5</v>
      </c>
      <c r="T28" s="12"/>
      <c r="U28" s="11"/>
      <c r="V28" s="20" t="n">
        <f aca="false">V27+1</f>
        <v>26</v>
      </c>
      <c r="W28" s="12" t="n">
        <v>4603</v>
      </c>
      <c r="X28" s="12" t="n">
        <v>6457</v>
      </c>
      <c r="Y28" s="12" t="n">
        <v>9129</v>
      </c>
      <c r="Z28" s="12" t="n">
        <v>10777</v>
      </c>
      <c r="AA28" s="12" t="n">
        <v>1265</v>
      </c>
      <c r="AB28" s="12" t="n">
        <v>3540</v>
      </c>
      <c r="AC28" s="12" t="n">
        <v>352</v>
      </c>
      <c r="AD28" s="12" t="n">
        <v>3188</v>
      </c>
    </row>
    <row r="29" customFormat="false" ht="15.75" hidden="false" customHeight="false" outlineLevel="0" collapsed="false">
      <c r="A29" s="42" t="n">
        <f aca="false">A28+1</f>
        <v>45775</v>
      </c>
      <c r="B29" s="38" t="n">
        <v>1780.8839995</v>
      </c>
      <c r="C29" s="38" t="n">
        <v>238.26599994</v>
      </c>
      <c r="D29" s="13" t="n">
        <f aca="false">W30-W29</f>
        <v>12</v>
      </c>
      <c r="E29" s="13" t="n">
        <f aca="false">D29*0.13</f>
        <v>1.56</v>
      </c>
      <c r="F29" s="13" t="n">
        <f aca="false">X30-X29</f>
        <v>35</v>
      </c>
      <c r="G29" s="13" t="n">
        <f aca="false">F29*0.13</f>
        <v>4.55</v>
      </c>
      <c r="H29" s="13" t="n">
        <v>136.866666666667</v>
      </c>
      <c r="I29" s="13" t="n">
        <v>20</v>
      </c>
      <c r="J29" s="19" t="n">
        <f aca="false">Z30-Z29</f>
        <v>1</v>
      </c>
      <c r="K29" s="12" t="n">
        <v>0</v>
      </c>
      <c r="L29" s="19" t="n">
        <v>35</v>
      </c>
      <c r="M29" s="19" t="n">
        <v>5</v>
      </c>
      <c r="N29" s="38" t="n">
        <v>324.98399939</v>
      </c>
      <c r="O29" s="38" t="n">
        <v>68.30399989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3</v>
      </c>
      <c r="T29" s="12"/>
      <c r="U29" s="11"/>
      <c r="V29" s="20" t="n">
        <f aca="false">V28+1</f>
        <v>27</v>
      </c>
      <c r="W29" s="12" t="n">
        <v>4660</v>
      </c>
      <c r="X29" s="12" t="n">
        <v>6551</v>
      </c>
      <c r="Y29" s="12" t="n">
        <v>9133</v>
      </c>
      <c r="Z29" s="12" t="n">
        <v>10778</v>
      </c>
      <c r="AA29" s="12" t="n">
        <v>1266</v>
      </c>
      <c r="AB29" s="12" t="n">
        <v>3540</v>
      </c>
      <c r="AC29" s="12" t="n">
        <v>352</v>
      </c>
      <c r="AD29" s="12" t="n">
        <v>3193</v>
      </c>
    </row>
    <row r="30" customFormat="false" ht="15.75" hidden="false" customHeight="false" outlineLevel="0" collapsed="false">
      <c r="A30" s="42" t="n">
        <f aca="false">A29+1</f>
        <v>45776</v>
      </c>
      <c r="B30" s="38" t="n">
        <v>1669.20599942</v>
      </c>
      <c r="C30" s="38" t="n">
        <v>242.80199994</v>
      </c>
      <c r="D30" s="13" t="n">
        <f aca="false">W31-W30</f>
        <v>93</v>
      </c>
      <c r="E30" s="13" t="n">
        <f aca="false">D30*0.13</f>
        <v>12.09</v>
      </c>
      <c r="F30" s="13" t="n">
        <f aca="false">X31-X30</f>
        <v>73</v>
      </c>
      <c r="G30" s="13" t="n">
        <f aca="false">F30*0.13</f>
        <v>9.49</v>
      </c>
      <c r="H30" s="13" t="n">
        <v>136.866666666667</v>
      </c>
      <c r="I30" s="13" t="n">
        <v>20</v>
      </c>
      <c r="J30" s="19" t="n">
        <f aca="false">Z31-Z30</f>
        <v>1</v>
      </c>
      <c r="K30" s="12" t="n">
        <v>0</v>
      </c>
      <c r="L30" s="19" t="n">
        <v>35</v>
      </c>
      <c r="M30" s="19" t="n">
        <v>5</v>
      </c>
      <c r="N30" s="38" t="n">
        <v>295.94399936</v>
      </c>
      <c r="O30" s="38" t="n">
        <v>61.58399991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7</v>
      </c>
      <c r="T30" s="12"/>
      <c r="U30" s="11"/>
      <c r="V30" s="20" t="n">
        <f aca="false">V29+1</f>
        <v>28</v>
      </c>
      <c r="W30" s="12" t="n">
        <v>4672</v>
      </c>
      <c r="X30" s="12" t="n">
        <v>6586</v>
      </c>
      <c r="Y30" s="12" t="n">
        <v>9138</v>
      </c>
      <c r="Z30" s="12" t="n">
        <v>10779</v>
      </c>
      <c r="AA30" s="12" t="n">
        <v>1266</v>
      </c>
      <c r="AB30" s="12" t="n">
        <v>3548</v>
      </c>
      <c r="AC30" s="12" t="n">
        <v>352</v>
      </c>
      <c r="AD30" s="12" t="n">
        <v>3196</v>
      </c>
    </row>
    <row r="31" customFormat="false" ht="15.75" hidden="false" customHeight="false" outlineLevel="0" collapsed="false">
      <c r="A31" s="42" t="n">
        <f aca="false">A30+1</f>
        <v>45777</v>
      </c>
      <c r="B31" s="38" t="n">
        <v>1730.27399945</v>
      </c>
      <c r="C31" s="38" t="n">
        <v>243.76799995</v>
      </c>
      <c r="D31" s="13" t="n">
        <f aca="false">W32-W31</f>
        <v>0</v>
      </c>
      <c r="E31" s="13" t="n">
        <f aca="false">D31*0.13</f>
        <v>0</v>
      </c>
      <c r="F31" s="13" t="n">
        <f aca="false">X32-X31</f>
        <v>0</v>
      </c>
      <c r="G31" s="13" t="n">
        <f aca="false">F31*0.13</f>
        <v>0</v>
      </c>
      <c r="H31" s="13" t="n">
        <v>136.866666666667</v>
      </c>
      <c r="I31" s="13" t="n">
        <v>20</v>
      </c>
      <c r="J31" s="19" t="n">
        <f aca="false">Z32-Z31</f>
        <v>0</v>
      </c>
      <c r="K31" s="12" t="n">
        <v>0</v>
      </c>
      <c r="L31" s="19" t="n">
        <v>35</v>
      </c>
      <c r="M31" s="19" t="n">
        <v>5</v>
      </c>
      <c r="N31" s="38" t="n">
        <v>285.83999936</v>
      </c>
      <c r="O31" s="38" t="n">
        <v>51.04799991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0</v>
      </c>
      <c r="T31" s="12"/>
      <c r="U31" s="11"/>
      <c r="V31" s="20" t="n">
        <f aca="false">V30+1</f>
        <v>29</v>
      </c>
      <c r="W31" s="12" t="n">
        <v>4765</v>
      </c>
      <c r="X31" s="12" t="n">
        <v>6659</v>
      </c>
      <c r="Y31" s="12" t="n">
        <v>9140</v>
      </c>
      <c r="Z31" s="12" t="n">
        <v>10780</v>
      </c>
      <c r="AA31" s="12" t="n">
        <v>1266</v>
      </c>
      <c r="AB31" s="12" t="n">
        <v>3556</v>
      </c>
      <c r="AC31" s="12" t="n">
        <v>353</v>
      </c>
      <c r="AD31" s="12" t="n">
        <v>3203</v>
      </c>
    </row>
    <row r="32" customFormat="false" ht="15.75" hidden="false" customHeight="false" outlineLevel="0" collapsed="false">
      <c r="D32" s="54"/>
      <c r="E32" s="54"/>
      <c r="F32" s="54"/>
      <c r="G32" s="54"/>
      <c r="T32" s="37"/>
      <c r="U32" s="11"/>
      <c r="V32" s="24" t="n">
        <f aca="false">V31+1</f>
        <v>30</v>
      </c>
      <c r="W32" s="12" t="n">
        <v>4765</v>
      </c>
      <c r="X32" s="12" t="n">
        <v>6659</v>
      </c>
      <c r="Y32" s="12" t="n">
        <v>9140</v>
      </c>
      <c r="Z32" s="12" t="n">
        <v>10780</v>
      </c>
      <c r="AA32" s="12" t="n">
        <v>1266</v>
      </c>
      <c r="AB32" s="12" t="n">
        <v>3556</v>
      </c>
      <c r="AC32" s="12" t="n">
        <v>353</v>
      </c>
      <c r="AD32" s="12" t="n">
        <v>3203</v>
      </c>
    </row>
    <row r="33" customFormat="false" ht="15.75" hidden="false" customHeight="true" outlineLevel="0" collapsed="false">
      <c r="U33" s="11"/>
      <c r="W33" s="21"/>
      <c r="X33" s="21"/>
      <c r="Y33" s="21"/>
      <c r="Z33" s="21"/>
      <c r="AA33" s="21"/>
      <c r="AB33" s="21"/>
      <c r="AC33" s="21"/>
      <c r="AD33" s="21"/>
    </row>
    <row r="34" customFormat="false" ht="12.75" hidden="false" customHeight="false" outlineLevel="0" collapsed="false"/>
    <row r="35" customFormat="false" ht="12.75" hidden="false" customHeight="false" outlineLevel="0" collapsed="false">
      <c r="D35" s="11"/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>
      <c r="K51" s="30"/>
    </row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tru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</row>
    <row r="70" customFormat="false" ht="12.75" hidden="false" customHeight="false" outlineLevel="0" collapsed="false">
      <c r="A70" s="28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1"/>
      <c r="B71" s="31"/>
      <c r="C71" s="31"/>
      <c r="D71" s="31"/>
      <c r="E71" s="31"/>
      <c r="F71" s="31"/>
      <c r="G71" s="31"/>
      <c r="H71" s="31"/>
      <c r="I71" s="31"/>
    </row>
    <row r="74" customFormat="false" ht="12.75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</row>
    <row r="75" customFormat="false" ht="12.75" hidden="false" customHeight="false" outlineLevel="0" collapsed="false">
      <c r="A75" s="28"/>
      <c r="B75" s="33"/>
      <c r="C75" s="33"/>
      <c r="D75" s="33"/>
      <c r="E75" s="33"/>
      <c r="F75" s="33"/>
      <c r="G75" s="33"/>
      <c r="H75" s="33"/>
      <c r="I75" s="33"/>
    </row>
    <row r="76" customFormat="false" ht="12.75" hidden="false" customHeight="false" outlineLevel="0" collapsed="false">
      <c r="A76" s="28"/>
      <c r="B76" s="34"/>
      <c r="C76" s="34"/>
      <c r="D76" s="34"/>
      <c r="E76" s="34"/>
      <c r="F76" s="34"/>
      <c r="G76" s="34"/>
      <c r="H76" s="34"/>
      <c r="I76" s="34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5"/>
    </row>
    <row r="79" customFormat="false" ht="12.7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8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2" customFormat="false" ht="12.75" hidden="false" customHeight="false" outlineLevel="0" collapsed="false">
      <c r="A82" s="28"/>
      <c r="B82" s="28"/>
    </row>
    <row r="83" customFormat="false" ht="12.75" hidden="false" customHeight="false" outlineLevel="0" collapsed="false">
      <c r="A83" s="28"/>
    </row>
    <row r="84" customFormat="false" ht="12.75" hidden="false" customHeight="false" outlineLevel="0" collapsed="false">
      <c r="A84" s="28"/>
      <c r="B84" s="31"/>
    </row>
    <row r="86" customFormat="false" ht="12.75" hidden="false" customHeight="false" outlineLevel="0" collapsed="false">
      <c r="A86" s="32"/>
      <c r="B86" s="32"/>
      <c r="C86" s="32"/>
      <c r="D86" s="32"/>
      <c r="E86" s="32"/>
      <c r="F86" s="32"/>
      <c r="G86" s="32"/>
      <c r="H86" s="32"/>
      <c r="I86" s="32"/>
    </row>
    <row r="87" customFormat="false" ht="12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8"/>
    </row>
    <row r="95" customFormat="false" ht="12.75" hidden="false" customHeight="false" outlineLevel="0" collapsed="false">
      <c r="A95" s="28"/>
      <c r="B95" s="36"/>
    </row>
    <row r="96" customFormat="false" ht="12.75" hidden="false" customHeight="false" outlineLevel="0" collapsed="false">
      <c r="A96" s="28"/>
      <c r="B96" s="28"/>
    </row>
    <row r="97" customFormat="false" ht="12.75" hidden="false" customHeight="false" outlineLevel="0" collapsed="false">
      <c r="A97" s="28"/>
      <c r="B97" s="36"/>
    </row>
    <row r="99" customFormat="false" ht="12.7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</row>
    <row r="100" customFormat="false" ht="12.75" hidden="false" customHeight="false" outlineLevel="0" collapsed="false">
      <c r="A100" s="28"/>
      <c r="B100" s="31"/>
      <c r="C100" s="31"/>
      <c r="D100" s="31"/>
      <c r="E100" s="31"/>
      <c r="F100" s="31"/>
      <c r="G100" s="31"/>
      <c r="H100" s="31"/>
      <c r="I100" s="31"/>
    </row>
    <row r="101" customFormat="false" ht="12.75" hidden="false" customHeight="fals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</row>
  </sheetData>
  <mergeCells count="5"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V33" activeCellId="0" sqref="V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42"/>
    <col collapsed="false" customWidth="true" hidden="false" outlineLevel="0" max="12" min="12" style="1" width="7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45717</v>
      </c>
      <c r="B2" s="55" t="n">
        <v>1272.68399944</v>
      </c>
      <c r="C2" s="55" t="n">
        <v>218.35799995</v>
      </c>
      <c r="D2" s="56" t="n">
        <f aca="false">W3-W2</f>
        <v>0</v>
      </c>
      <c r="E2" s="56" t="n">
        <f aca="false">D2*0.13</f>
        <v>0</v>
      </c>
      <c r="F2" s="56" t="n">
        <f aca="false">X3-X2</f>
        <v>0</v>
      </c>
      <c r="G2" s="56" t="n">
        <f aca="false">F2*0.13</f>
        <v>0</v>
      </c>
      <c r="H2" s="56" t="n">
        <v>129.933333333333</v>
      </c>
      <c r="I2" s="56" t="n">
        <v>19</v>
      </c>
      <c r="J2" s="56" t="n">
        <v>46.4</v>
      </c>
      <c r="K2" s="56" t="n">
        <v>7</v>
      </c>
      <c r="L2" s="55" t="n">
        <v>35</v>
      </c>
      <c r="M2" s="55" t="n">
        <v>5</v>
      </c>
      <c r="N2" s="56" t="n">
        <v>364.5599994</v>
      </c>
      <c r="O2" s="56" t="n">
        <v>76.2239999</v>
      </c>
      <c r="P2" s="56" t="n">
        <f aca="false">AC3-AC2</f>
        <v>0</v>
      </c>
      <c r="Q2" s="56" t="n">
        <v>0</v>
      </c>
      <c r="R2" s="56" t="n">
        <v>0</v>
      </c>
      <c r="S2" s="56" t="n">
        <f aca="false">AD3-AD2</f>
        <v>0</v>
      </c>
      <c r="T2" s="12"/>
      <c r="U2" s="11"/>
      <c r="V2" s="14" t="n">
        <v>0</v>
      </c>
      <c r="W2" s="12" t="n">
        <v>594</v>
      </c>
      <c r="X2" s="12" t="n">
        <v>1193</v>
      </c>
      <c r="Y2" s="12" t="n">
        <v>8925</v>
      </c>
      <c r="Z2" s="12" t="n">
        <v>10736</v>
      </c>
      <c r="AA2" s="12" t="n">
        <v>1256</v>
      </c>
      <c r="AB2" s="12" t="n">
        <v>3235</v>
      </c>
      <c r="AC2" s="12" t="n">
        <v>321</v>
      </c>
      <c r="AD2" s="12" t="n">
        <v>2913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45718</v>
      </c>
      <c r="B3" s="55" t="n">
        <v>1149.11999953</v>
      </c>
      <c r="C3" s="55" t="n">
        <v>219.07199997</v>
      </c>
      <c r="D3" s="56" t="n">
        <f aca="false">W4-W3</f>
        <v>77</v>
      </c>
      <c r="E3" s="56" t="n">
        <f aca="false">D3*0.13</f>
        <v>10.01</v>
      </c>
      <c r="F3" s="56" t="n">
        <f aca="false">X4-X3</f>
        <v>96</v>
      </c>
      <c r="G3" s="56" t="n">
        <f aca="false">F3*0.13</f>
        <v>12.48</v>
      </c>
      <c r="H3" s="56" t="n">
        <v>129.933333333333</v>
      </c>
      <c r="I3" s="56" t="n">
        <v>19</v>
      </c>
      <c r="J3" s="56" t="n">
        <v>46.4</v>
      </c>
      <c r="K3" s="56" t="n">
        <v>7</v>
      </c>
      <c r="L3" s="55" t="n">
        <v>35</v>
      </c>
      <c r="M3" s="55" t="n">
        <v>5</v>
      </c>
      <c r="N3" s="56" t="n">
        <v>329.92799938</v>
      </c>
      <c r="O3" s="56" t="n">
        <v>54.14399987</v>
      </c>
      <c r="P3" s="56" t="n">
        <f aca="false">AC4-AC3</f>
        <v>0</v>
      </c>
      <c r="Q3" s="56" t="n">
        <v>0</v>
      </c>
      <c r="R3" s="56" t="n">
        <v>0</v>
      </c>
      <c r="S3" s="56" t="n">
        <f aca="false">AD4-AD3</f>
        <v>4</v>
      </c>
      <c r="T3" s="12"/>
      <c r="U3" s="11"/>
      <c r="V3" s="24" t="n">
        <v>1</v>
      </c>
      <c r="W3" s="12" t="n">
        <v>594</v>
      </c>
      <c r="X3" s="12" t="n">
        <v>1193</v>
      </c>
      <c r="Y3" s="12" t="n">
        <v>8925</v>
      </c>
      <c r="Z3" s="12" t="n">
        <v>10736</v>
      </c>
      <c r="AA3" s="12" t="n">
        <v>1256</v>
      </c>
      <c r="AB3" s="12" t="n">
        <v>3235</v>
      </c>
      <c r="AC3" s="12" t="n">
        <v>321</v>
      </c>
      <c r="AD3" s="12" t="n">
        <v>2913</v>
      </c>
    </row>
    <row r="4" customFormat="false" ht="15.75" hidden="false" customHeight="false" outlineLevel="0" collapsed="false">
      <c r="A4" s="42" t="n">
        <f aca="false">A3+1</f>
        <v>45719</v>
      </c>
      <c r="B4" s="55" t="n">
        <v>1136.39399946</v>
      </c>
      <c r="C4" s="55" t="n">
        <v>205.33799991</v>
      </c>
      <c r="D4" s="56" t="n">
        <f aca="false">W5-W4</f>
        <v>21</v>
      </c>
      <c r="E4" s="56" t="n">
        <f aca="false">D4*0.13</f>
        <v>2.73</v>
      </c>
      <c r="F4" s="56" t="n">
        <f aca="false">X5-X4</f>
        <v>164</v>
      </c>
      <c r="G4" s="56" t="n">
        <f aca="false">F4*0.13</f>
        <v>21.32</v>
      </c>
      <c r="H4" s="56" t="n">
        <v>129.933333333333</v>
      </c>
      <c r="I4" s="56" t="n">
        <v>19</v>
      </c>
      <c r="J4" s="56" t="n">
        <v>46.4</v>
      </c>
      <c r="K4" s="56" t="n">
        <v>7</v>
      </c>
      <c r="L4" s="55" t="n">
        <v>35</v>
      </c>
      <c r="M4" s="55" t="n">
        <v>5</v>
      </c>
      <c r="N4" s="56" t="n">
        <v>368.06399935</v>
      </c>
      <c r="O4" s="56" t="n">
        <v>71.30399991</v>
      </c>
      <c r="P4" s="56" t="n">
        <f aca="false">AC5-AC4</f>
        <v>0</v>
      </c>
      <c r="Q4" s="56" t="n">
        <v>0</v>
      </c>
      <c r="R4" s="56" t="n">
        <v>0</v>
      </c>
      <c r="S4" s="56" t="n">
        <f aca="false">AD5-AD4</f>
        <v>5</v>
      </c>
      <c r="T4" s="12"/>
      <c r="U4" s="11"/>
      <c r="V4" s="24" t="n">
        <f aca="false">V3+1</f>
        <v>2</v>
      </c>
      <c r="W4" s="12" t="n">
        <v>671</v>
      </c>
      <c r="X4" s="12" t="n">
        <v>1289</v>
      </c>
      <c r="Y4" s="12" t="n">
        <v>8928</v>
      </c>
      <c r="Z4" s="12" t="n">
        <v>10736</v>
      </c>
      <c r="AA4" s="12" t="n">
        <v>1256</v>
      </c>
      <c r="AB4" s="12" t="n">
        <v>3238</v>
      </c>
      <c r="AC4" s="12" t="n">
        <v>321</v>
      </c>
      <c r="AD4" s="12" t="n">
        <v>2917</v>
      </c>
    </row>
    <row r="5" customFormat="false" ht="15.75" hidden="false" customHeight="false" outlineLevel="0" collapsed="false">
      <c r="A5" s="42" t="n">
        <f aca="false">A4+1</f>
        <v>45720</v>
      </c>
      <c r="B5" s="55" t="n">
        <v>1241.22599962</v>
      </c>
      <c r="C5" s="55" t="n">
        <v>217.76999994</v>
      </c>
      <c r="D5" s="56" t="n">
        <f aca="false">W6-W5</f>
        <v>36</v>
      </c>
      <c r="E5" s="56" t="n">
        <f aca="false">D5*0.13</f>
        <v>4.68</v>
      </c>
      <c r="F5" s="56" t="n">
        <f aca="false">X6-X5</f>
        <v>48</v>
      </c>
      <c r="G5" s="56" t="n">
        <f aca="false">F5*0.13</f>
        <v>6.24</v>
      </c>
      <c r="H5" s="56" t="n">
        <v>129.933333333333</v>
      </c>
      <c r="I5" s="56" t="n">
        <v>19</v>
      </c>
      <c r="J5" s="56" t="n">
        <v>46.4</v>
      </c>
      <c r="K5" s="56" t="n">
        <v>7</v>
      </c>
      <c r="L5" s="55" t="n">
        <v>35</v>
      </c>
      <c r="M5" s="55" t="n">
        <v>5</v>
      </c>
      <c r="N5" s="56" t="n">
        <v>412.77599936</v>
      </c>
      <c r="O5" s="56" t="n">
        <v>81.57599992</v>
      </c>
      <c r="P5" s="56" t="n">
        <f aca="false">AC6-AC5</f>
        <v>1</v>
      </c>
      <c r="Q5" s="56" t="n">
        <v>0</v>
      </c>
      <c r="R5" s="56" t="n">
        <v>0</v>
      </c>
      <c r="S5" s="56" t="n">
        <f aca="false">AD6-AD5</f>
        <v>6</v>
      </c>
      <c r="T5" s="12"/>
      <c r="U5" s="11"/>
      <c r="V5" s="24" t="n">
        <f aca="false">V4+1</f>
        <v>3</v>
      </c>
      <c r="W5" s="12" t="n">
        <v>692</v>
      </c>
      <c r="X5" s="12" t="n">
        <v>1453</v>
      </c>
      <c r="Y5" s="12" t="n">
        <v>8931</v>
      </c>
      <c r="Z5" s="12" t="n">
        <v>10736</v>
      </c>
      <c r="AA5" s="12" t="n">
        <v>1256</v>
      </c>
      <c r="AB5" s="12" t="n">
        <v>3243</v>
      </c>
      <c r="AC5" s="12" t="n">
        <v>321</v>
      </c>
      <c r="AD5" s="12" t="n">
        <v>2922</v>
      </c>
    </row>
    <row r="6" customFormat="false" ht="15.75" hidden="false" customHeight="false" outlineLevel="0" collapsed="false">
      <c r="A6" s="42" t="n">
        <f aca="false">A5+1</f>
        <v>45721</v>
      </c>
      <c r="B6" s="55" t="n">
        <v>1692.93599945</v>
      </c>
      <c r="C6" s="55" t="n">
        <v>363.80399993</v>
      </c>
      <c r="D6" s="56" t="n">
        <f aca="false">W7-W6</f>
        <v>0</v>
      </c>
      <c r="E6" s="56" t="n">
        <f aca="false">D6*0.13</f>
        <v>0</v>
      </c>
      <c r="F6" s="56" t="n">
        <f aca="false">X7-X6</f>
        <v>0</v>
      </c>
      <c r="G6" s="56" t="n">
        <f aca="false">F6*0.13</f>
        <v>0</v>
      </c>
      <c r="H6" s="56" t="n">
        <v>129.933333333333</v>
      </c>
      <c r="I6" s="56" t="n">
        <v>19</v>
      </c>
      <c r="J6" s="56" t="n">
        <v>46.4</v>
      </c>
      <c r="K6" s="56" t="n">
        <v>7</v>
      </c>
      <c r="L6" s="55" t="n">
        <v>35</v>
      </c>
      <c r="M6" s="55" t="n">
        <v>5</v>
      </c>
      <c r="N6" s="56" t="n">
        <v>402.95999933</v>
      </c>
      <c r="O6" s="56" t="n">
        <v>78.11999991</v>
      </c>
      <c r="P6" s="56" t="n">
        <f aca="false">AC7-AC6</f>
        <v>0</v>
      </c>
      <c r="Q6" s="56" t="n">
        <v>0</v>
      </c>
      <c r="R6" s="56" t="n">
        <v>0</v>
      </c>
      <c r="S6" s="56" t="n">
        <f aca="false">AD7-AD6</f>
        <v>0</v>
      </c>
      <c r="T6" s="12"/>
      <c r="U6" s="11"/>
      <c r="V6" s="24" t="n">
        <f aca="false">V5+1</f>
        <v>4</v>
      </c>
      <c r="W6" s="12" t="n">
        <v>728</v>
      </c>
      <c r="X6" s="12" t="n">
        <v>1501</v>
      </c>
      <c r="Y6" s="12" t="n">
        <v>8935</v>
      </c>
      <c r="Z6" s="12" t="n">
        <v>10738</v>
      </c>
      <c r="AA6" s="12" t="n">
        <v>1256</v>
      </c>
      <c r="AB6" s="12" t="n">
        <v>3251</v>
      </c>
      <c r="AC6" s="12" t="n">
        <v>322</v>
      </c>
      <c r="AD6" s="12" t="n">
        <v>2928</v>
      </c>
    </row>
    <row r="7" customFormat="false" ht="15.75" hidden="false" customHeight="false" outlineLevel="0" collapsed="false">
      <c r="A7" s="42" t="n">
        <f aca="false">A6+1</f>
        <v>45722</v>
      </c>
      <c r="B7" s="55" t="n">
        <v>1988.65799951</v>
      </c>
      <c r="C7" s="55" t="n">
        <v>284.80199992</v>
      </c>
      <c r="D7" s="56" t="n">
        <f aca="false">W8-W7</f>
        <v>154</v>
      </c>
      <c r="E7" s="56" t="n">
        <f aca="false">D7*0.13</f>
        <v>20.02</v>
      </c>
      <c r="F7" s="56" t="n">
        <f aca="false">X8-X7</f>
        <v>204</v>
      </c>
      <c r="G7" s="56" t="n">
        <f aca="false">F7*0.13</f>
        <v>26.52</v>
      </c>
      <c r="H7" s="56" t="n">
        <v>129.933333333333</v>
      </c>
      <c r="I7" s="56" t="n">
        <v>19</v>
      </c>
      <c r="J7" s="56" t="n">
        <v>46.4</v>
      </c>
      <c r="K7" s="56" t="n">
        <v>7</v>
      </c>
      <c r="L7" s="55" t="n">
        <v>35</v>
      </c>
      <c r="M7" s="55" t="n">
        <v>5</v>
      </c>
      <c r="N7" s="56" t="n">
        <v>357.93599938</v>
      </c>
      <c r="O7" s="56" t="n">
        <v>66.81599992</v>
      </c>
      <c r="P7" s="56" t="n">
        <f aca="false">AC8-AC7</f>
        <v>0</v>
      </c>
      <c r="Q7" s="56" t="n">
        <v>0</v>
      </c>
      <c r="R7" s="56" t="n">
        <v>0</v>
      </c>
      <c r="S7" s="56" t="n">
        <f aca="false">AD8-AD7</f>
        <v>0</v>
      </c>
      <c r="T7" s="12"/>
      <c r="U7" s="11"/>
      <c r="V7" s="24" t="n">
        <f aca="false">V6+1</f>
        <v>5</v>
      </c>
      <c r="W7" s="12" t="n">
        <v>728</v>
      </c>
      <c r="X7" s="12" t="n">
        <v>1501</v>
      </c>
      <c r="Y7" s="12" t="n">
        <v>8935</v>
      </c>
      <c r="Z7" s="12" t="n">
        <v>10738</v>
      </c>
      <c r="AA7" s="12" t="n">
        <v>1256</v>
      </c>
      <c r="AB7" s="12" t="n">
        <v>3251</v>
      </c>
      <c r="AC7" s="12" t="n">
        <v>322</v>
      </c>
      <c r="AD7" s="12" t="n">
        <v>2928</v>
      </c>
    </row>
    <row r="8" customFormat="false" ht="15.75" hidden="false" customHeight="false" outlineLevel="0" collapsed="false">
      <c r="A8" s="42" t="n">
        <f aca="false">A7+1</f>
        <v>45723</v>
      </c>
      <c r="B8" s="55" t="n">
        <v>1598.98199945</v>
      </c>
      <c r="C8" s="55" t="n">
        <v>255.65399995</v>
      </c>
      <c r="D8" s="56" t="n">
        <f aca="false">W9-W8</f>
        <v>0</v>
      </c>
      <c r="E8" s="56" t="n">
        <f aca="false">D8*0.13</f>
        <v>0</v>
      </c>
      <c r="F8" s="56" t="n">
        <f aca="false">X9-X8</f>
        <v>0</v>
      </c>
      <c r="G8" s="56" t="n">
        <f aca="false">F8*0.13</f>
        <v>0</v>
      </c>
      <c r="H8" s="56" t="n">
        <v>129.933333333333</v>
      </c>
      <c r="I8" s="56" t="n">
        <v>19</v>
      </c>
      <c r="J8" s="56" t="n">
        <v>46.4</v>
      </c>
      <c r="K8" s="56" t="n">
        <v>7</v>
      </c>
      <c r="L8" s="55" t="n">
        <v>35</v>
      </c>
      <c r="M8" s="55" t="n">
        <v>5</v>
      </c>
      <c r="N8" s="56" t="n">
        <v>384.28799934</v>
      </c>
      <c r="O8" s="56" t="n">
        <v>69.9839999</v>
      </c>
      <c r="P8" s="56" t="n">
        <f aca="false">AC9-AC8</f>
        <v>0</v>
      </c>
      <c r="Q8" s="56" t="n">
        <v>0</v>
      </c>
      <c r="R8" s="56" t="n">
        <v>0</v>
      </c>
      <c r="S8" s="56" t="n">
        <f aca="false">AD9-AD8</f>
        <v>0</v>
      </c>
      <c r="T8" s="12"/>
      <c r="U8" s="11"/>
      <c r="V8" s="24" t="n">
        <f aca="false">V7+1</f>
        <v>6</v>
      </c>
      <c r="W8" s="12" t="n">
        <v>882</v>
      </c>
      <c r="X8" s="12" t="n">
        <v>1705</v>
      </c>
      <c r="Y8" s="12" t="n">
        <v>8946</v>
      </c>
      <c r="Z8" s="12" t="n">
        <v>10739</v>
      </c>
      <c r="AA8" s="12" t="n">
        <v>1256</v>
      </c>
      <c r="AB8" s="12" t="n">
        <v>3263</v>
      </c>
      <c r="AC8" s="12" t="n">
        <v>322</v>
      </c>
      <c r="AD8" s="12" t="n">
        <v>2928</v>
      </c>
    </row>
    <row r="9" customFormat="false" ht="15.75" hidden="false" customHeight="false" outlineLevel="0" collapsed="false">
      <c r="A9" s="42" t="n">
        <f aca="false">A8+1</f>
        <v>45724</v>
      </c>
      <c r="B9" s="55" t="n">
        <v>1434.00599944</v>
      </c>
      <c r="C9" s="55" t="n">
        <v>261.23999989</v>
      </c>
      <c r="D9" s="56" t="n">
        <f aca="false">W10-W9</f>
        <v>176</v>
      </c>
      <c r="E9" s="56" t="n">
        <f aca="false">D9*0.13</f>
        <v>22.88</v>
      </c>
      <c r="F9" s="56" t="n">
        <f aca="false">X10-X9</f>
        <v>290</v>
      </c>
      <c r="G9" s="56" t="n">
        <f aca="false">F9*0.13</f>
        <v>37.7</v>
      </c>
      <c r="H9" s="56" t="n">
        <v>129.933333333333</v>
      </c>
      <c r="I9" s="56" t="n">
        <v>19</v>
      </c>
      <c r="J9" s="56" t="n">
        <v>46.4</v>
      </c>
      <c r="K9" s="56" t="n">
        <v>7</v>
      </c>
      <c r="L9" s="55" t="n">
        <v>35</v>
      </c>
      <c r="M9" s="55" t="n">
        <v>5</v>
      </c>
      <c r="N9" s="56" t="n">
        <v>402.55199937</v>
      </c>
      <c r="O9" s="56" t="n">
        <v>68.20799987</v>
      </c>
      <c r="P9" s="56" t="n">
        <f aca="false">AC10-AC9</f>
        <v>3</v>
      </c>
      <c r="Q9" s="56" t="n">
        <v>0</v>
      </c>
      <c r="R9" s="56" t="n">
        <v>0</v>
      </c>
      <c r="S9" s="56" t="n">
        <f aca="false">AD10-AD9</f>
        <v>20</v>
      </c>
      <c r="T9" s="12"/>
      <c r="U9" s="11"/>
      <c r="V9" s="24" t="n">
        <f aca="false">V8+1</f>
        <v>7</v>
      </c>
      <c r="W9" s="12" t="n">
        <v>882</v>
      </c>
      <c r="X9" s="12" t="n">
        <v>1705</v>
      </c>
      <c r="Y9" s="12" t="n">
        <v>8946</v>
      </c>
      <c r="Z9" s="12" t="n">
        <v>10739</v>
      </c>
      <c r="AA9" s="12" t="n">
        <v>1256</v>
      </c>
      <c r="AB9" s="12" t="n">
        <v>3263</v>
      </c>
      <c r="AC9" s="12" t="n">
        <v>322</v>
      </c>
      <c r="AD9" s="12" t="n">
        <v>2928</v>
      </c>
    </row>
    <row r="10" customFormat="false" ht="15.75" hidden="false" customHeight="false" outlineLevel="0" collapsed="false">
      <c r="A10" s="42" t="n">
        <f aca="false">A9+1</f>
        <v>45725</v>
      </c>
      <c r="B10" s="55" t="n">
        <v>1502.25599959</v>
      </c>
      <c r="C10" s="55" t="n">
        <v>250.15199993</v>
      </c>
      <c r="D10" s="56" t="n">
        <f aca="false">W11-W10</f>
        <v>22</v>
      </c>
      <c r="E10" s="56" t="n">
        <f aca="false">D10*0.13</f>
        <v>2.86</v>
      </c>
      <c r="F10" s="56" t="n">
        <f aca="false">X11-X10</f>
        <v>130</v>
      </c>
      <c r="G10" s="56" t="n">
        <f aca="false">F10*0.13</f>
        <v>16.9</v>
      </c>
      <c r="H10" s="56" t="n">
        <v>129.933333333333</v>
      </c>
      <c r="I10" s="56" t="n">
        <v>19</v>
      </c>
      <c r="J10" s="56" t="n">
        <v>46.4</v>
      </c>
      <c r="K10" s="56" t="n">
        <v>7</v>
      </c>
      <c r="L10" s="55" t="n">
        <v>35</v>
      </c>
      <c r="M10" s="55" t="n">
        <v>5</v>
      </c>
      <c r="N10" s="56" t="n">
        <v>445.96799939</v>
      </c>
      <c r="O10" s="56" t="n">
        <v>81.93599991</v>
      </c>
      <c r="P10" s="56" t="n">
        <f aca="false">AC11-AC10</f>
        <v>0</v>
      </c>
      <c r="Q10" s="56" t="n">
        <v>0</v>
      </c>
      <c r="R10" s="56" t="n">
        <v>0</v>
      </c>
      <c r="S10" s="56" t="n">
        <f aca="false">AD11-AD10</f>
        <v>7</v>
      </c>
      <c r="T10" s="12"/>
      <c r="U10" s="11"/>
      <c r="V10" s="24" t="n">
        <f aca="false">V9+1</f>
        <v>8</v>
      </c>
      <c r="W10" s="12" t="n">
        <v>1058</v>
      </c>
      <c r="X10" s="12" t="n">
        <v>1995</v>
      </c>
      <c r="Y10" s="12" t="n">
        <v>8952</v>
      </c>
      <c r="Z10" s="12" t="n">
        <v>10741</v>
      </c>
      <c r="AA10" s="12" t="n">
        <v>1257</v>
      </c>
      <c r="AB10" s="12" t="n">
        <v>3274</v>
      </c>
      <c r="AC10" s="12" t="n">
        <v>325</v>
      </c>
      <c r="AD10" s="12" t="n">
        <v>2948</v>
      </c>
    </row>
    <row r="11" customFormat="false" ht="15.75" hidden="false" customHeight="false" outlineLevel="0" collapsed="false">
      <c r="A11" s="42" t="n">
        <f aca="false">A10+1</f>
        <v>45726</v>
      </c>
      <c r="B11" s="55" t="n">
        <v>2206.38599949</v>
      </c>
      <c r="C11" s="55" t="n">
        <v>285.80999992</v>
      </c>
      <c r="D11" s="56" t="n">
        <f aca="false">W12-W11</f>
        <v>55</v>
      </c>
      <c r="E11" s="56" t="n">
        <f aca="false">D11*0.13</f>
        <v>7.15</v>
      </c>
      <c r="F11" s="56" t="n">
        <f aca="false">X12-X11</f>
        <v>176</v>
      </c>
      <c r="G11" s="56" t="n">
        <f aca="false">F11*0.13</f>
        <v>22.88</v>
      </c>
      <c r="H11" s="56" t="n">
        <v>129.933333333333</v>
      </c>
      <c r="I11" s="56" t="n">
        <v>19</v>
      </c>
      <c r="J11" s="56" t="n">
        <v>46.4</v>
      </c>
      <c r="K11" s="56" t="n">
        <v>7</v>
      </c>
      <c r="L11" s="55" t="n">
        <v>35</v>
      </c>
      <c r="M11" s="55" t="n">
        <v>5</v>
      </c>
      <c r="N11" s="56" t="n">
        <v>407.03999939</v>
      </c>
      <c r="O11" s="56" t="n">
        <v>85.1999999</v>
      </c>
      <c r="P11" s="56" t="n">
        <f aca="false">AC12-AC11</f>
        <v>0</v>
      </c>
      <c r="Q11" s="56" t="n">
        <v>0</v>
      </c>
      <c r="R11" s="56" t="n">
        <v>0</v>
      </c>
      <c r="S11" s="56" t="n">
        <f aca="false">AD12-AD11</f>
        <v>7</v>
      </c>
      <c r="T11" s="12"/>
      <c r="U11" s="11"/>
      <c r="V11" s="24" t="n">
        <f aca="false">V10+1</f>
        <v>9</v>
      </c>
      <c r="W11" s="12" t="n">
        <v>1080</v>
      </c>
      <c r="X11" s="12" t="n">
        <v>2125</v>
      </c>
      <c r="Y11" s="12" t="n">
        <v>8952</v>
      </c>
      <c r="Z11" s="12" t="n">
        <v>10741</v>
      </c>
      <c r="AA11" s="12" t="n">
        <v>1257</v>
      </c>
      <c r="AB11" s="12" t="n">
        <v>3280</v>
      </c>
      <c r="AC11" s="12" t="n">
        <v>325</v>
      </c>
      <c r="AD11" s="12" t="n">
        <v>2955</v>
      </c>
    </row>
    <row r="12" customFormat="false" ht="15.75" hidden="false" customHeight="false" outlineLevel="0" collapsed="false">
      <c r="A12" s="42" t="n">
        <f aca="false">A11+1</f>
        <v>45727</v>
      </c>
      <c r="B12" s="55" t="n">
        <v>2271.65399959</v>
      </c>
      <c r="C12" s="55" t="n">
        <v>288.79199993</v>
      </c>
      <c r="D12" s="56" t="n">
        <f aca="false">W13-W12</f>
        <v>95</v>
      </c>
      <c r="E12" s="56" t="n">
        <f aca="false">D12*0.13</f>
        <v>12.35</v>
      </c>
      <c r="F12" s="56" t="n">
        <f aca="false">X13-X12</f>
        <v>117</v>
      </c>
      <c r="G12" s="56" t="n">
        <f aca="false">F12*0.13</f>
        <v>15.21</v>
      </c>
      <c r="H12" s="56" t="n">
        <v>129.933333333333</v>
      </c>
      <c r="I12" s="56" t="n">
        <v>19</v>
      </c>
      <c r="J12" s="56" t="n">
        <v>46.4</v>
      </c>
      <c r="K12" s="56" t="n">
        <v>7</v>
      </c>
      <c r="L12" s="55" t="n">
        <v>35</v>
      </c>
      <c r="M12" s="55" t="n">
        <v>5</v>
      </c>
      <c r="N12" s="56" t="n">
        <v>430.70399945</v>
      </c>
      <c r="O12" s="56" t="n">
        <v>88.91999988</v>
      </c>
      <c r="P12" s="56" t="n">
        <f aca="false">AC13-AC12</f>
        <v>0</v>
      </c>
      <c r="Q12" s="56" t="n">
        <v>0</v>
      </c>
      <c r="R12" s="56" t="n">
        <v>0</v>
      </c>
      <c r="S12" s="56" t="n">
        <f aca="false">AD13-AD12</f>
        <v>0</v>
      </c>
      <c r="T12" s="12"/>
      <c r="U12" s="11"/>
      <c r="V12" s="24" t="n">
        <f aca="false">V11+1</f>
        <v>10</v>
      </c>
      <c r="W12" s="12" t="n">
        <v>1135</v>
      </c>
      <c r="X12" s="12" t="n">
        <v>2301</v>
      </c>
      <c r="Y12" s="12" t="n">
        <v>8960</v>
      </c>
      <c r="Z12" s="12" t="n">
        <v>10742</v>
      </c>
      <c r="AA12" s="12" t="n">
        <v>1257</v>
      </c>
      <c r="AB12" s="12" t="n">
        <v>3287</v>
      </c>
      <c r="AC12" s="12" t="n">
        <v>325</v>
      </c>
      <c r="AD12" s="12" t="n">
        <v>2962</v>
      </c>
    </row>
    <row r="13" customFormat="false" ht="15.75" hidden="false" customHeight="false" outlineLevel="0" collapsed="false">
      <c r="A13" s="42" t="n">
        <f aca="false">A12+1</f>
        <v>45728</v>
      </c>
      <c r="B13" s="55" t="n">
        <v>2278.7519995</v>
      </c>
      <c r="C13" s="55" t="n">
        <v>268.67399993</v>
      </c>
      <c r="D13" s="56" t="n">
        <f aca="false">W14-W13</f>
        <v>117</v>
      </c>
      <c r="E13" s="56" t="n">
        <f aca="false">D13*0.13</f>
        <v>15.21</v>
      </c>
      <c r="F13" s="56" t="n">
        <f aca="false">X14-X13</f>
        <v>193</v>
      </c>
      <c r="G13" s="56" t="n">
        <f aca="false">F13*0.13</f>
        <v>25.09</v>
      </c>
      <c r="H13" s="56" t="n">
        <v>129.933333333333</v>
      </c>
      <c r="I13" s="56" t="n">
        <v>19</v>
      </c>
      <c r="J13" s="56" t="n">
        <v>46.4</v>
      </c>
      <c r="K13" s="56" t="n">
        <v>7</v>
      </c>
      <c r="L13" s="55" t="n">
        <v>35</v>
      </c>
      <c r="M13" s="55" t="n">
        <v>5</v>
      </c>
      <c r="N13" s="56" t="n">
        <v>411.76799938</v>
      </c>
      <c r="O13" s="56" t="n">
        <v>85.41599988</v>
      </c>
      <c r="P13" s="56" t="n">
        <f aca="false">AC14-AC13</f>
        <v>2</v>
      </c>
      <c r="Q13" s="56" t="n">
        <v>0</v>
      </c>
      <c r="R13" s="56" t="n">
        <v>0</v>
      </c>
      <c r="S13" s="56" t="n">
        <f aca="false">AD14-AD13</f>
        <v>11</v>
      </c>
      <c r="T13" s="12"/>
      <c r="U13" s="11"/>
      <c r="V13" s="24" t="n">
        <f aca="false">V12+1</f>
        <v>11</v>
      </c>
      <c r="W13" s="12" t="n">
        <v>1230</v>
      </c>
      <c r="X13" s="12" t="n">
        <v>2418</v>
      </c>
      <c r="Y13" s="12" t="n">
        <v>8964</v>
      </c>
      <c r="Z13" s="12" t="n">
        <v>10743</v>
      </c>
      <c r="AA13" s="12" t="n">
        <v>1257</v>
      </c>
      <c r="AB13" s="12" t="n">
        <v>3287</v>
      </c>
      <c r="AC13" s="12" t="n">
        <v>325</v>
      </c>
      <c r="AD13" s="12" t="n">
        <v>2962</v>
      </c>
    </row>
    <row r="14" customFormat="false" ht="15.75" hidden="false" customHeight="false" outlineLevel="0" collapsed="false">
      <c r="A14" s="42" t="n">
        <f aca="false">A13+1</f>
        <v>45729</v>
      </c>
      <c r="B14" s="55" t="n">
        <v>2100.37799949</v>
      </c>
      <c r="C14" s="55" t="n">
        <v>271.27799993</v>
      </c>
      <c r="D14" s="56" t="n">
        <f aca="false">W15-W14</f>
        <v>123</v>
      </c>
      <c r="E14" s="56" t="n">
        <f aca="false">D14*0.13</f>
        <v>15.99</v>
      </c>
      <c r="F14" s="56" t="n">
        <f aca="false">X15-X14</f>
        <v>70</v>
      </c>
      <c r="G14" s="56" t="n">
        <f aca="false">F14*0.13</f>
        <v>9.1</v>
      </c>
      <c r="H14" s="56" t="n">
        <v>129.933333333333</v>
      </c>
      <c r="I14" s="56" t="n">
        <v>19</v>
      </c>
      <c r="J14" s="56" t="n">
        <v>46.4</v>
      </c>
      <c r="K14" s="56" t="n">
        <v>7</v>
      </c>
      <c r="L14" s="55" t="n">
        <v>35</v>
      </c>
      <c r="M14" s="55" t="n">
        <v>5</v>
      </c>
      <c r="N14" s="56" t="n">
        <v>389.90399932</v>
      </c>
      <c r="O14" s="56" t="n">
        <v>72.3839999</v>
      </c>
      <c r="P14" s="56" t="n">
        <f aca="false">AC15-AC14</f>
        <v>1</v>
      </c>
      <c r="Q14" s="56" t="n">
        <v>0</v>
      </c>
      <c r="R14" s="56" t="n">
        <v>0</v>
      </c>
      <c r="S14" s="56" t="n">
        <f aca="false">AD15-AD14</f>
        <v>4</v>
      </c>
      <c r="T14" s="12"/>
      <c r="U14" s="11"/>
      <c r="V14" s="24" t="n">
        <f aca="false">V13+1</f>
        <v>12</v>
      </c>
      <c r="W14" s="12" t="n">
        <v>1347</v>
      </c>
      <c r="X14" s="12" t="n">
        <v>2611</v>
      </c>
      <c r="Y14" s="12" t="n">
        <v>8967</v>
      </c>
      <c r="Z14" s="12" t="n">
        <v>10744</v>
      </c>
      <c r="AA14" s="12" t="n">
        <v>1257</v>
      </c>
      <c r="AB14" s="12" t="n">
        <v>3300</v>
      </c>
      <c r="AC14" s="12" t="n">
        <v>327</v>
      </c>
      <c r="AD14" s="12" t="n">
        <v>2973</v>
      </c>
    </row>
    <row r="15" customFormat="false" ht="15.75" hidden="false" customHeight="false" outlineLevel="0" collapsed="false">
      <c r="A15" s="42" t="n">
        <f aca="false">A14+1</f>
        <v>45730</v>
      </c>
      <c r="B15" s="55" t="n">
        <v>1817.33999954</v>
      </c>
      <c r="C15" s="55" t="n">
        <v>255.86399993</v>
      </c>
      <c r="D15" s="56" t="n">
        <f aca="false">W16-W15</f>
        <v>0</v>
      </c>
      <c r="E15" s="56" t="n">
        <f aca="false">D15*0.13</f>
        <v>0</v>
      </c>
      <c r="F15" s="56" t="n">
        <f aca="false">X16-X15</f>
        <v>0</v>
      </c>
      <c r="G15" s="56" t="n">
        <f aca="false">F15*0.13</f>
        <v>0</v>
      </c>
      <c r="H15" s="56" t="n">
        <v>129.933333333333</v>
      </c>
      <c r="I15" s="56" t="n">
        <v>19</v>
      </c>
      <c r="J15" s="56" t="n">
        <v>46.4</v>
      </c>
      <c r="K15" s="56" t="n">
        <v>7</v>
      </c>
      <c r="L15" s="55" t="n">
        <v>35</v>
      </c>
      <c r="M15" s="55" t="n">
        <v>5</v>
      </c>
      <c r="N15" s="56" t="n">
        <v>396.23999935</v>
      </c>
      <c r="O15" s="56" t="n">
        <v>71.25599989</v>
      </c>
      <c r="P15" s="56" t="n">
        <f aca="false">AC16-AC15</f>
        <v>0</v>
      </c>
      <c r="Q15" s="56" t="n">
        <v>0</v>
      </c>
      <c r="R15" s="56" t="n">
        <v>0</v>
      </c>
      <c r="S15" s="56" t="n">
        <f aca="false">AD16-AD15</f>
        <v>0</v>
      </c>
      <c r="T15" s="12"/>
      <c r="U15" s="11"/>
      <c r="V15" s="24" t="n">
        <f aca="false">V14+1</f>
        <v>13</v>
      </c>
      <c r="W15" s="12" t="n">
        <v>1470</v>
      </c>
      <c r="X15" s="12" t="n">
        <v>2681</v>
      </c>
      <c r="Y15" s="12" t="n">
        <v>8971</v>
      </c>
      <c r="Z15" s="12" t="n">
        <v>10744</v>
      </c>
      <c r="AA15" s="12" t="n">
        <v>1258</v>
      </c>
      <c r="AB15" s="12" t="n">
        <v>3306</v>
      </c>
      <c r="AC15" s="12" t="n">
        <v>328</v>
      </c>
      <c r="AD15" s="12" t="n">
        <v>2977</v>
      </c>
    </row>
    <row r="16" customFormat="false" ht="15.75" hidden="false" customHeight="false" outlineLevel="0" collapsed="false">
      <c r="A16" s="42" t="n">
        <f aca="false">A15+1</f>
        <v>45731</v>
      </c>
      <c r="B16" s="55" t="n">
        <v>1350.97199956</v>
      </c>
      <c r="C16" s="55" t="n">
        <v>234.10799996</v>
      </c>
      <c r="D16" s="56" t="n">
        <f aca="false">W17-W16</f>
        <v>204</v>
      </c>
      <c r="E16" s="56" t="n">
        <f aca="false">D16*0.13</f>
        <v>26.52</v>
      </c>
      <c r="F16" s="56" t="n">
        <f aca="false">X17-X16</f>
        <v>233</v>
      </c>
      <c r="G16" s="56" t="n">
        <f aca="false">F16*0.13</f>
        <v>30.29</v>
      </c>
      <c r="H16" s="56" t="n">
        <v>129.933333333333</v>
      </c>
      <c r="I16" s="56" t="n">
        <v>19</v>
      </c>
      <c r="J16" s="56" t="n">
        <v>46.4</v>
      </c>
      <c r="K16" s="56" t="n">
        <v>7</v>
      </c>
      <c r="L16" s="55" t="n">
        <v>35</v>
      </c>
      <c r="M16" s="55" t="n">
        <v>5</v>
      </c>
      <c r="N16" s="56" t="n">
        <v>437.78399931</v>
      </c>
      <c r="O16" s="56" t="n">
        <v>75.19199989</v>
      </c>
      <c r="P16" s="56" t="n">
        <f aca="false">AC17-AC16</f>
        <v>1</v>
      </c>
      <c r="Q16" s="56" t="n">
        <v>0</v>
      </c>
      <c r="R16" s="56" t="n">
        <v>0</v>
      </c>
      <c r="S16" s="56" t="n">
        <f aca="false">AD17-AD16</f>
        <v>11</v>
      </c>
      <c r="T16" s="12"/>
      <c r="U16" s="11"/>
      <c r="V16" s="24" t="n">
        <f aca="false">V15+1</f>
        <v>14</v>
      </c>
      <c r="W16" s="12" t="n">
        <v>1470</v>
      </c>
      <c r="X16" s="12" t="n">
        <v>2681</v>
      </c>
      <c r="Y16" s="12" t="n">
        <v>8971</v>
      </c>
      <c r="Z16" s="12" t="n">
        <v>10744</v>
      </c>
      <c r="AA16" s="12" t="n">
        <v>1258</v>
      </c>
      <c r="AB16" s="12" t="n">
        <v>3306</v>
      </c>
      <c r="AC16" s="12" t="n">
        <v>328</v>
      </c>
      <c r="AD16" s="12" t="n">
        <v>2977</v>
      </c>
    </row>
    <row r="17" customFormat="false" ht="15.75" hidden="false" customHeight="false" outlineLevel="0" collapsed="false">
      <c r="A17" s="42" t="n">
        <f aca="false">A16+1</f>
        <v>45732</v>
      </c>
      <c r="B17" s="55" t="n">
        <v>1503.5159995</v>
      </c>
      <c r="C17" s="55" t="n">
        <v>274.38599993</v>
      </c>
      <c r="D17" s="56" t="n">
        <f aca="false">W18-W17</f>
        <v>16</v>
      </c>
      <c r="E17" s="56" t="n">
        <f aca="false">D17*0.13</f>
        <v>2.08</v>
      </c>
      <c r="F17" s="56" t="n">
        <f aca="false">X18-X17</f>
        <v>72</v>
      </c>
      <c r="G17" s="56" t="n">
        <f aca="false">F17*0.13</f>
        <v>9.36</v>
      </c>
      <c r="H17" s="56" t="n">
        <v>129.933333333333</v>
      </c>
      <c r="I17" s="56" t="n">
        <v>19</v>
      </c>
      <c r="J17" s="56" t="n">
        <v>46.4</v>
      </c>
      <c r="K17" s="56" t="n">
        <v>7</v>
      </c>
      <c r="L17" s="55" t="n">
        <v>35</v>
      </c>
      <c r="M17" s="55" t="n">
        <v>5</v>
      </c>
      <c r="N17" s="56" t="n">
        <v>440.99999933</v>
      </c>
      <c r="O17" s="56" t="n">
        <v>88.67999991</v>
      </c>
      <c r="P17" s="56" t="n">
        <f aca="false">AC18-AC17</f>
        <v>0</v>
      </c>
      <c r="Q17" s="56" t="n">
        <v>0</v>
      </c>
      <c r="R17" s="56" t="n">
        <v>0</v>
      </c>
      <c r="S17" s="56" t="n">
        <f aca="false">AD18-AD17</f>
        <v>6</v>
      </c>
      <c r="T17" s="12"/>
      <c r="U17" s="11"/>
      <c r="V17" s="24" t="n">
        <f aca="false">V16+1</f>
        <v>15</v>
      </c>
      <c r="W17" s="12" t="n">
        <v>1674</v>
      </c>
      <c r="X17" s="12" t="n">
        <v>2914</v>
      </c>
      <c r="Y17" s="12" t="n">
        <v>8979</v>
      </c>
      <c r="Z17" s="12" t="n">
        <v>10745</v>
      </c>
      <c r="AA17" s="12" t="n">
        <v>1258</v>
      </c>
      <c r="AB17" s="12" t="n">
        <v>3317</v>
      </c>
      <c r="AC17" s="12" t="n">
        <v>329</v>
      </c>
      <c r="AD17" s="12" t="n">
        <v>2988</v>
      </c>
    </row>
    <row r="18" customFormat="false" ht="15.75" hidden="false" customHeight="false" outlineLevel="0" collapsed="false">
      <c r="A18" s="42" t="n">
        <f aca="false">A17+1</f>
        <v>45733</v>
      </c>
      <c r="B18" s="55" t="n">
        <v>2308.10999956</v>
      </c>
      <c r="C18" s="55" t="n">
        <v>309.41399992</v>
      </c>
      <c r="D18" s="56" t="n">
        <f aca="false">W19-W18</f>
        <v>43</v>
      </c>
      <c r="E18" s="56" t="n">
        <f aca="false">D18*0.13</f>
        <v>5.59</v>
      </c>
      <c r="F18" s="56" t="n">
        <f aca="false">X19-X18</f>
        <v>75</v>
      </c>
      <c r="G18" s="56" t="n">
        <f aca="false">F18*0.13</f>
        <v>9.75</v>
      </c>
      <c r="H18" s="56" t="n">
        <v>129.933333333333</v>
      </c>
      <c r="I18" s="56" t="n">
        <v>19</v>
      </c>
      <c r="J18" s="56" t="n">
        <v>46.4</v>
      </c>
      <c r="K18" s="56" t="n">
        <v>7</v>
      </c>
      <c r="L18" s="55" t="n">
        <v>35</v>
      </c>
      <c r="M18" s="55" t="n">
        <v>5</v>
      </c>
      <c r="N18" s="56" t="n">
        <v>388.99199944</v>
      </c>
      <c r="O18" s="56" t="n">
        <v>78.07199991</v>
      </c>
      <c r="P18" s="56" t="n">
        <f aca="false">AC19-AC18</f>
        <v>0</v>
      </c>
      <c r="Q18" s="56" t="n">
        <v>0</v>
      </c>
      <c r="R18" s="56" t="n">
        <v>0</v>
      </c>
      <c r="S18" s="56" t="n">
        <f aca="false">AD19-AD18</f>
        <v>6</v>
      </c>
      <c r="T18" s="12"/>
      <c r="U18" s="11"/>
      <c r="V18" s="24" t="n">
        <f aca="false">V17+1</f>
        <v>16</v>
      </c>
      <c r="W18" s="12" t="n">
        <v>1690</v>
      </c>
      <c r="X18" s="12" t="n">
        <v>2986</v>
      </c>
      <c r="Y18" s="12" t="n">
        <v>8979</v>
      </c>
      <c r="Z18" s="12" t="n">
        <v>10747</v>
      </c>
      <c r="AA18" s="12" t="n">
        <v>1258</v>
      </c>
      <c r="AB18" s="12" t="n">
        <v>3324</v>
      </c>
      <c r="AC18" s="12" t="n">
        <v>329</v>
      </c>
      <c r="AD18" s="12" t="n">
        <v>2994</v>
      </c>
    </row>
    <row r="19" customFormat="false" ht="15.75" hidden="false" customHeight="false" outlineLevel="0" collapsed="false">
      <c r="A19" s="42" t="n">
        <f aca="false">A18+1</f>
        <v>45734</v>
      </c>
      <c r="B19" s="55" t="n">
        <v>2364.64199959</v>
      </c>
      <c r="C19" s="55" t="n">
        <v>330.62399993</v>
      </c>
      <c r="D19" s="56" t="n">
        <f aca="false">W20-W19</f>
        <v>126</v>
      </c>
      <c r="E19" s="56" t="n">
        <f aca="false">D19*0.13</f>
        <v>16.38</v>
      </c>
      <c r="F19" s="56" t="n">
        <f aca="false">X20-X19</f>
        <v>240</v>
      </c>
      <c r="G19" s="56" t="n">
        <f aca="false">F19*0.13</f>
        <v>31.2</v>
      </c>
      <c r="H19" s="56" t="n">
        <v>129.933333333333</v>
      </c>
      <c r="I19" s="56" t="n">
        <v>19</v>
      </c>
      <c r="J19" s="56" t="n">
        <v>46.4</v>
      </c>
      <c r="K19" s="56" t="n">
        <v>7</v>
      </c>
      <c r="L19" s="55" t="n">
        <v>35</v>
      </c>
      <c r="M19" s="55" t="n">
        <v>5</v>
      </c>
      <c r="N19" s="56" t="n">
        <v>378.88799932</v>
      </c>
      <c r="O19" s="56" t="n">
        <v>84.93599989</v>
      </c>
      <c r="P19" s="56" t="n">
        <f aca="false">AC20-AC19</f>
        <v>1</v>
      </c>
      <c r="Q19" s="56" t="n">
        <v>0</v>
      </c>
      <c r="R19" s="56" t="n">
        <v>0</v>
      </c>
      <c r="S19" s="56" t="n">
        <f aca="false">AD20-AD19</f>
        <v>5</v>
      </c>
      <c r="T19" s="12"/>
      <c r="U19" s="23"/>
      <c r="V19" s="24" t="n">
        <f aca="false">V18+1</f>
        <v>17</v>
      </c>
      <c r="W19" s="12" t="n">
        <v>1733</v>
      </c>
      <c r="X19" s="12" t="n">
        <v>3061</v>
      </c>
      <c r="Y19" s="12" t="n">
        <v>8985</v>
      </c>
      <c r="Z19" s="12" t="n">
        <v>10747</v>
      </c>
      <c r="AA19" s="12" t="n">
        <v>1258</v>
      </c>
      <c r="AB19" s="12" t="n">
        <v>3330</v>
      </c>
      <c r="AC19" s="12" t="n">
        <v>329</v>
      </c>
      <c r="AD19" s="12" t="n">
        <v>3000</v>
      </c>
    </row>
    <row r="20" customFormat="false" ht="15.75" hidden="false" customHeight="false" outlineLevel="0" collapsed="false">
      <c r="A20" s="42" t="n">
        <f aca="false">A19+1</f>
        <v>45735</v>
      </c>
      <c r="B20" s="55" t="n">
        <v>2107.6019995</v>
      </c>
      <c r="C20" s="55" t="n">
        <v>314.41199989</v>
      </c>
      <c r="D20" s="56" t="n">
        <f aca="false">W21-W20</f>
        <v>92</v>
      </c>
      <c r="E20" s="56" t="n">
        <f aca="false">D20*0.13</f>
        <v>11.96</v>
      </c>
      <c r="F20" s="56" t="n">
        <f aca="false">X21-X20</f>
        <v>67</v>
      </c>
      <c r="G20" s="56" t="n">
        <f aca="false">F20*0.13</f>
        <v>8.71</v>
      </c>
      <c r="H20" s="56" t="n">
        <v>129.933333333333</v>
      </c>
      <c r="I20" s="56" t="n">
        <v>19</v>
      </c>
      <c r="J20" s="56" t="n">
        <v>46.4</v>
      </c>
      <c r="K20" s="56" t="n">
        <v>7</v>
      </c>
      <c r="L20" s="55" t="n">
        <v>35</v>
      </c>
      <c r="M20" s="55" t="n">
        <v>5</v>
      </c>
      <c r="N20" s="56" t="n">
        <v>357.35999931</v>
      </c>
      <c r="O20" s="56" t="n">
        <v>65.78399991</v>
      </c>
      <c r="P20" s="56" t="n">
        <f aca="false">AC21-AC20</f>
        <v>1</v>
      </c>
      <c r="Q20" s="56" t="n">
        <v>0</v>
      </c>
      <c r="R20" s="56" t="n">
        <v>0</v>
      </c>
      <c r="S20" s="56" t="n">
        <f aca="false">AD21-AD20</f>
        <v>5</v>
      </c>
      <c r="T20" s="12"/>
      <c r="U20" s="11"/>
      <c r="V20" s="24" t="n">
        <f aca="false">V19+1</f>
        <v>18</v>
      </c>
      <c r="W20" s="12" t="n">
        <v>1859</v>
      </c>
      <c r="X20" s="12" t="n">
        <v>3301</v>
      </c>
      <c r="Y20" s="12" t="n">
        <v>8988</v>
      </c>
      <c r="Z20" s="12" t="n">
        <v>10748</v>
      </c>
      <c r="AA20" s="12" t="n">
        <v>1258</v>
      </c>
      <c r="AB20" s="12" t="n">
        <v>3336</v>
      </c>
      <c r="AC20" s="12" t="n">
        <v>330</v>
      </c>
      <c r="AD20" s="12" t="n">
        <v>3005</v>
      </c>
    </row>
    <row r="21" customFormat="false" ht="15.75" hidden="false" customHeight="false" outlineLevel="0" collapsed="false">
      <c r="A21" s="42" t="n">
        <f aca="false">A20+1</f>
        <v>45736</v>
      </c>
      <c r="B21" s="55" t="n">
        <v>2214.07199948</v>
      </c>
      <c r="C21" s="55" t="n">
        <v>298.49399993</v>
      </c>
      <c r="D21" s="56" t="n">
        <f aca="false">W22-W21</f>
        <v>97</v>
      </c>
      <c r="E21" s="56" t="n">
        <f aca="false">D21*0.13</f>
        <v>12.61</v>
      </c>
      <c r="F21" s="56" t="n">
        <f aca="false">X22-X21</f>
        <v>138</v>
      </c>
      <c r="G21" s="56" t="n">
        <f aca="false">F21*0.13</f>
        <v>17.94</v>
      </c>
      <c r="H21" s="56" t="n">
        <v>129.933333333333</v>
      </c>
      <c r="I21" s="56" t="n">
        <v>19</v>
      </c>
      <c r="J21" s="56" t="n">
        <v>46.4</v>
      </c>
      <c r="K21" s="56" t="n">
        <v>7</v>
      </c>
      <c r="L21" s="55" t="n">
        <v>35</v>
      </c>
      <c r="M21" s="55" t="n">
        <v>5</v>
      </c>
      <c r="N21" s="56" t="n">
        <v>373.67999937</v>
      </c>
      <c r="O21" s="56" t="n">
        <v>71.4479999</v>
      </c>
      <c r="P21" s="56" t="n">
        <f aca="false">AC22-AC21</f>
        <v>1</v>
      </c>
      <c r="Q21" s="56" t="n">
        <v>0</v>
      </c>
      <c r="R21" s="56" t="n">
        <v>0</v>
      </c>
      <c r="S21" s="56" t="n">
        <f aca="false">AD22-AD21</f>
        <v>5</v>
      </c>
      <c r="T21" s="12"/>
      <c r="U21" s="11"/>
      <c r="V21" s="24" t="n">
        <f aca="false">V20+1</f>
        <v>19</v>
      </c>
      <c r="W21" s="12" t="n">
        <v>1951</v>
      </c>
      <c r="X21" s="12" t="n">
        <v>3368</v>
      </c>
      <c r="Y21" s="12" t="n">
        <v>8992</v>
      </c>
      <c r="Z21" s="12" t="n">
        <v>10749</v>
      </c>
      <c r="AA21" s="12" t="n">
        <v>1258</v>
      </c>
      <c r="AB21" s="12" t="n">
        <v>3342</v>
      </c>
      <c r="AC21" s="12" t="n">
        <v>331</v>
      </c>
      <c r="AD21" s="12" t="n">
        <v>3010</v>
      </c>
    </row>
    <row r="22" customFormat="false" ht="15.75" hidden="false" customHeight="false" outlineLevel="0" collapsed="false">
      <c r="A22" s="42" t="n">
        <f aca="false">A21+1</f>
        <v>45737</v>
      </c>
      <c r="B22" s="55" t="n">
        <v>1810.87199949</v>
      </c>
      <c r="C22" s="55" t="n">
        <v>258.00599992</v>
      </c>
      <c r="D22" s="56" t="n">
        <f aca="false">W23-W22</f>
        <v>122</v>
      </c>
      <c r="E22" s="56" t="n">
        <f aca="false">D22*0.13</f>
        <v>15.86</v>
      </c>
      <c r="F22" s="56" t="n">
        <f aca="false">X23-X22</f>
        <v>122</v>
      </c>
      <c r="G22" s="56" t="n">
        <f aca="false">F22*0.13</f>
        <v>15.86</v>
      </c>
      <c r="H22" s="56" t="n">
        <v>129.933333333333</v>
      </c>
      <c r="I22" s="56" t="n">
        <v>19</v>
      </c>
      <c r="J22" s="56" t="n">
        <v>46.4</v>
      </c>
      <c r="K22" s="56" t="n">
        <v>7</v>
      </c>
      <c r="L22" s="55" t="n">
        <v>35</v>
      </c>
      <c r="M22" s="55" t="n">
        <v>5</v>
      </c>
      <c r="N22" s="56" t="n">
        <v>353.56799933</v>
      </c>
      <c r="O22" s="56" t="n">
        <v>86.23199988</v>
      </c>
      <c r="P22" s="56" t="n">
        <f aca="false">AC23-AC22</f>
        <v>1</v>
      </c>
      <c r="Q22" s="56" t="n">
        <v>0</v>
      </c>
      <c r="R22" s="56" t="n">
        <v>0</v>
      </c>
      <c r="S22" s="56" t="n">
        <f aca="false">AD23-AD22</f>
        <v>2</v>
      </c>
      <c r="T22" s="12"/>
      <c r="U22" s="11"/>
      <c r="V22" s="24" t="n">
        <f aca="false">V21+1</f>
        <v>20</v>
      </c>
      <c r="W22" s="12" t="n">
        <v>2048</v>
      </c>
      <c r="X22" s="12" t="n">
        <v>3506</v>
      </c>
      <c r="Y22" s="12" t="n">
        <v>8995</v>
      </c>
      <c r="Z22" s="12" t="n">
        <v>10749</v>
      </c>
      <c r="AA22" s="12" t="n">
        <v>1258</v>
      </c>
      <c r="AB22" s="12" t="n">
        <v>3347</v>
      </c>
      <c r="AC22" s="12" t="n">
        <v>332</v>
      </c>
      <c r="AD22" s="12" t="n">
        <v>3015</v>
      </c>
    </row>
    <row r="23" customFormat="false" ht="15.75" hidden="false" customHeight="false" outlineLevel="0" collapsed="false">
      <c r="A23" s="42" t="n">
        <f aca="false">A22+1</f>
        <v>45738</v>
      </c>
      <c r="B23" s="55" t="n">
        <v>1408.76399954</v>
      </c>
      <c r="C23" s="55" t="n">
        <v>244.18799992</v>
      </c>
      <c r="D23" s="56" t="n">
        <f aca="false">W24-W23</f>
        <v>29</v>
      </c>
      <c r="E23" s="56" t="n">
        <f aca="false">D23*0.13</f>
        <v>3.77</v>
      </c>
      <c r="F23" s="56" t="n">
        <f aca="false">X24-X23</f>
        <v>85</v>
      </c>
      <c r="G23" s="56" t="n">
        <f aca="false">F23*0.13</f>
        <v>11.05</v>
      </c>
      <c r="H23" s="56" t="n">
        <v>129.933333333333</v>
      </c>
      <c r="I23" s="56" t="n">
        <v>19</v>
      </c>
      <c r="J23" s="56" t="n">
        <v>46.4</v>
      </c>
      <c r="K23" s="56" t="n">
        <v>7</v>
      </c>
      <c r="L23" s="55" t="n">
        <v>35</v>
      </c>
      <c r="M23" s="55" t="n">
        <v>5</v>
      </c>
      <c r="N23" s="56" t="n">
        <v>364.58399935</v>
      </c>
      <c r="O23" s="56" t="n">
        <v>67.12799991</v>
      </c>
      <c r="P23" s="56" t="n">
        <f aca="false">AC24-AC23</f>
        <v>1</v>
      </c>
      <c r="Q23" s="56" t="n">
        <v>0</v>
      </c>
      <c r="R23" s="56" t="n">
        <v>0</v>
      </c>
      <c r="S23" s="56" t="n">
        <f aca="false">AD24-AD23</f>
        <v>4</v>
      </c>
      <c r="T23" s="12"/>
      <c r="U23" s="11"/>
      <c r="V23" s="24" t="n">
        <f aca="false">V22+1</f>
        <v>21</v>
      </c>
      <c r="W23" s="12" t="n">
        <v>2170</v>
      </c>
      <c r="X23" s="12" t="n">
        <v>3628</v>
      </c>
      <c r="Y23" s="12" t="n">
        <v>8985</v>
      </c>
      <c r="Z23" s="12" t="n">
        <v>10749</v>
      </c>
      <c r="AA23" s="12" t="n">
        <v>1258</v>
      </c>
      <c r="AB23" s="12" t="n">
        <v>3350</v>
      </c>
      <c r="AC23" s="12" t="n">
        <v>333</v>
      </c>
      <c r="AD23" s="12" t="n">
        <v>3017</v>
      </c>
    </row>
    <row r="24" customFormat="false" ht="15.75" hidden="false" customHeight="false" outlineLevel="0" collapsed="false">
      <c r="A24" s="42" t="n">
        <f aca="false">A23+1</f>
        <v>45739</v>
      </c>
      <c r="B24" s="55" t="n">
        <v>1430.89799948</v>
      </c>
      <c r="C24" s="55" t="n">
        <v>236.92199992</v>
      </c>
      <c r="D24" s="56" t="n">
        <f aca="false">W25-W24</f>
        <v>49</v>
      </c>
      <c r="E24" s="56" t="n">
        <f aca="false">D24*0.13</f>
        <v>6.37</v>
      </c>
      <c r="F24" s="56" t="n">
        <f aca="false">X25-X24</f>
        <v>77</v>
      </c>
      <c r="G24" s="56" t="n">
        <f aca="false">F24*0.13</f>
        <v>10.01</v>
      </c>
      <c r="H24" s="56" t="n">
        <v>129.933333333333</v>
      </c>
      <c r="I24" s="56" t="n">
        <v>19</v>
      </c>
      <c r="J24" s="56" t="n">
        <v>46.4</v>
      </c>
      <c r="K24" s="56" t="n">
        <v>7</v>
      </c>
      <c r="L24" s="55" t="n">
        <v>35</v>
      </c>
      <c r="M24" s="55" t="n">
        <v>5</v>
      </c>
      <c r="N24" s="56" t="n">
        <v>389.9039993</v>
      </c>
      <c r="O24" s="56" t="n">
        <v>69.04799988</v>
      </c>
      <c r="P24" s="56" t="n">
        <f aca="false">AC25-AC24</f>
        <v>0</v>
      </c>
      <c r="Q24" s="56" t="n">
        <v>0</v>
      </c>
      <c r="R24" s="56" t="n">
        <v>0</v>
      </c>
      <c r="S24" s="56" t="n">
        <f aca="false">AD25-AD24</f>
        <v>2</v>
      </c>
      <c r="T24" s="12"/>
      <c r="U24" s="11"/>
      <c r="V24" s="24" t="n">
        <f aca="false">V23+1</f>
        <v>22</v>
      </c>
      <c r="W24" s="12" t="n">
        <v>2199</v>
      </c>
      <c r="X24" s="12" t="n">
        <v>3713</v>
      </c>
      <c r="Y24" s="12" t="n">
        <v>8999</v>
      </c>
      <c r="Z24" s="12" t="n">
        <v>10752</v>
      </c>
      <c r="AA24" s="12" t="n">
        <v>1259</v>
      </c>
      <c r="AB24" s="12" t="n">
        <v>3356</v>
      </c>
      <c r="AC24" s="12" t="n">
        <v>334</v>
      </c>
      <c r="AD24" s="12" t="n">
        <v>3021</v>
      </c>
    </row>
    <row r="25" customFormat="false" ht="15.75" hidden="false" customHeight="false" outlineLevel="0" collapsed="false">
      <c r="A25" s="42" t="n">
        <f aca="false">A24+1</f>
        <v>45740</v>
      </c>
      <c r="B25" s="55" t="n">
        <v>2102.1839996</v>
      </c>
      <c r="C25" s="55" t="n">
        <v>320.54399994</v>
      </c>
      <c r="D25" s="56" t="n">
        <f aca="false">W26-W25</f>
        <v>38</v>
      </c>
      <c r="E25" s="56" t="n">
        <f aca="false">D25*0.13</f>
        <v>4.94</v>
      </c>
      <c r="F25" s="56" t="n">
        <f aca="false">X26-X25</f>
        <v>0</v>
      </c>
      <c r="G25" s="56" t="n">
        <f aca="false">F25*0.13</f>
        <v>0</v>
      </c>
      <c r="H25" s="56" t="n">
        <v>129.933333333333</v>
      </c>
      <c r="I25" s="56" t="n">
        <v>19</v>
      </c>
      <c r="J25" s="56" t="n">
        <v>46.4</v>
      </c>
      <c r="K25" s="56" t="n">
        <v>7</v>
      </c>
      <c r="L25" s="55" t="n">
        <v>35</v>
      </c>
      <c r="M25" s="55" t="n">
        <v>5</v>
      </c>
      <c r="N25" s="56" t="n">
        <v>302.54399937</v>
      </c>
      <c r="O25" s="56" t="n">
        <v>64.00799991</v>
      </c>
      <c r="P25" s="56" t="n">
        <f aca="false">AC26-AC25</f>
        <v>0</v>
      </c>
      <c r="Q25" s="56" t="n">
        <v>0</v>
      </c>
      <c r="R25" s="56" t="n">
        <v>0</v>
      </c>
      <c r="S25" s="56" t="n">
        <f aca="false">AD26-AD25</f>
        <v>12</v>
      </c>
      <c r="T25" s="12"/>
      <c r="U25" s="11"/>
      <c r="V25" s="24" t="n">
        <f aca="false">V24+1</f>
        <v>23</v>
      </c>
      <c r="W25" s="12" t="n">
        <v>2248</v>
      </c>
      <c r="X25" s="12" t="n">
        <v>3790</v>
      </c>
      <c r="Y25" s="12" t="n">
        <v>9004</v>
      </c>
      <c r="Z25" s="12" t="n">
        <v>10752</v>
      </c>
      <c r="AA25" s="12" t="n">
        <v>1259</v>
      </c>
      <c r="AB25" s="12" t="n">
        <v>3364</v>
      </c>
      <c r="AC25" s="12" t="n">
        <v>334</v>
      </c>
      <c r="AD25" s="12" t="n">
        <v>3023</v>
      </c>
    </row>
    <row r="26" customFormat="false" ht="15.75" hidden="false" customHeight="false" outlineLevel="0" collapsed="false">
      <c r="A26" s="42" t="n">
        <f aca="false">A25+1</f>
        <v>45741</v>
      </c>
      <c r="B26" s="55" t="n">
        <v>2234.02199942</v>
      </c>
      <c r="C26" s="55" t="n">
        <v>316.09199993</v>
      </c>
      <c r="D26" s="56" t="n">
        <f aca="false">W27-W26</f>
        <v>98</v>
      </c>
      <c r="E26" s="56" t="n">
        <f aca="false">D26*0.13</f>
        <v>12.74</v>
      </c>
      <c r="F26" s="56" t="n">
        <f aca="false">X27-X26</f>
        <v>144</v>
      </c>
      <c r="G26" s="56" t="n">
        <f aca="false">F26*0.13</f>
        <v>18.72</v>
      </c>
      <c r="H26" s="56" t="n">
        <v>129.933333333333</v>
      </c>
      <c r="I26" s="56" t="n">
        <v>19</v>
      </c>
      <c r="J26" s="56" t="n">
        <v>46.4</v>
      </c>
      <c r="K26" s="56" t="n">
        <v>7</v>
      </c>
      <c r="L26" s="55" t="n">
        <v>35</v>
      </c>
      <c r="M26" s="55" t="n">
        <v>5</v>
      </c>
      <c r="N26" s="56" t="n">
        <v>352.51199932</v>
      </c>
      <c r="O26" s="56" t="n">
        <v>75.9599999</v>
      </c>
      <c r="P26" s="56" t="n">
        <f aca="false">AC27-AC26</f>
        <v>0</v>
      </c>
      <c r="Q26" s="56" t="n">
        <v>0</v>
      </c>
      <c r="R26" s="56" t="n">
        <v>0</v>
      </c>
      <c r="S26" s="56" t="n">
        <f aca="false">AD27-AD26</f>
        <v>1</v>
      </c>
      <c r="T26" s="12"/>
      <c r="U26" s="11"/>
      <c r="V26" s="24" t="n">
        <f aca="false">V25+1</f>
        <v>24</v>
      </c>
      <c r="W26" s="12" t="n">
        <v>2286</v>
      </c>
      <c r="X26" s="12" t="n">
        <v>3790</v>
      </c>
      <c r="Y26" s="12" t="n">
        <v>9009</v>
      </c>
      <c r="Z26" s="12" t="n">
        <v>10753</v>
      </c>
      <c r="AA26" s="12" t="n">
        <v>1259</v>
      </c>
      <c r="AB26" s="12" t="n">
        <v>3369</v>
      </c>
      <c r="AC26" s="12" t="n">
        <v>334</v>
      </c>
      <c r="AD26" s="12" t="n">
        <v>3035</v>
      </c>
    </row>
    <row r="27" customFormat="false" ht="15.75" hidden="false" customHeight="false" outlineLevel="0" collapsed="false">
      <c r="A27" s="42" t="n">
        <f aca="false">A26+1</f>
        <v>45742</v>
      </c>
      <c r="B27" s="55" t="n">
        <v>2029.27199948</v>
      </c>
      <c r="C27" s="55" t="n">
        <v>286.94399994</v>
      </c>
      <c r="D27" s="56" t="n">
        <f aca="false">W28-W27</f>
        <v>68</v>
      </c>
      <c r="E27" s="56" t="n">
        <f aca="false">D27*0.13</f>
        <v>8.84</v>
      </c>
      <c r="F27" s="56" t="n">
        <f aca="false">X28-X27</f>
        <v>120</v>
      </c>
      <c r="G27" s="56" t="n">
        <f aca="false">F27*0.13</f>
        <v>15.6</v>
      </c>
      <c r="H27" s="56" t="n">
        <v>129.933333333333</v>
      </c>
      <c r="I27" s="56" t="n">
        <v>19</v>
      </c>
      <c r="J27" s="56" t="n">
        <v>46.4</v>
      </c>
      <c r="K27" s="56" t="n">
        <v>7</v>
      </c>
      <c r="L27" s="55" t="n">
        <v>35</v>
      </c>
      <c r="M27" s="55" t="n">
        <v>5</v>
      </c>
      <c r="N27" s="56" t="n">
        <v>347.18399935</v>
      </c>
      <c r="O27" s="56" t="n">
        <v>66.95999994</v>
      </c>
      <c r="P27" s="56" t="n">
        <f aca="false">AC28-AC27</f>
        <v>2</v>
      </c>
      <c r="Q27" s="56" t="n">
        <v>0</v>
      </c>
      <c r="R27" s="56" t="n">
        <v>0</v>
      </c>
      <c r="S27" s="56" t="n">
        <f aca="false">AD28-AD27</f>
        <v>7</v>
      </c>
      <c r="T27" s="12"/>
      <c r="U27" s="11"/>
      <c r="V27" s="24" t="n">
        <f aca="false">V26+1</f>
        <v>25</v>
      </c>
      <c r="W27" s="12" t="n">
        <v>2384</v>
      </c>
      <c r="X27" s="12" t="n">
        <v>3934</v>
      </c>
      <c r="Y27" s="12" t="n">
        <v>9011</v>
      </c>
      <c r="Z27" s="12" t="n">
        <v>10753</v>
      </c>
      <c r="AA27" s="12" t="n">
        <v>1259</v>
      </c>
      <c r="AB27" s="12" t="n">
        <v>3371</v>
      </c>
      <c r="AC27" s="12" t="n">
        <v>334</v>
      </c>
      <c r="AD27" s="12" t="n">
        <v>3036</v>
      </c>
    </row>
    <row r="28" customFormat="false" ht="15.75" hidden="false" customHeight="false" outlineLevel="0" collapsed="false">
      <c r="A28" s="42" t="n">
        <f aca="false">A27+1</f>
        <v>45743</v>
      </c>
      <c r="B28" s="55" t="n">
        <v>2173.45799935</v>
      </c>
      <c r="C28" s="55" t="n">
        <v>320.3339999</v>
      </c>
      <c r="D28" s="56" t="n">
        <f aca="false">W29-W28</f>
        <v>149</v>
      </c>
      <c r="E28" s="56" t="n">
        <f aca="false">D28*0.13</f>
        <v>19.37</v>
      </c>
      <c r="F28" s="56" t="n">
        <f aca="false">X29-X28</f>
        <v>120</v>
      </c>
      <c r="G28" s="56" t="n">
        <f aca="false">F28*0.13</f>
        <v>15.6</v>
      </c>
      <c r="H28" s="56" t="n">
        <v>129.933333333333</v>
      </c>
      <c r="I28" s="56" t="n">
        <v>19</v>
      </c>
      <c r="J28" s="56" t="n">
        <v>46.4</v>
      </c>
      <c r="K28" s="56" t="n">
        <v>7</v>
      </c>
      <c r="L28" s="55" t="n">
        <v>35</v>
      </c>
      <c r="M28" s="55" t="n">
        <v>5</v>
      </c>
      <c r="N28" s="56" t="n">
        <v>348.64799938</v>
      </c>
      <c r="O28" s="56" t="n">
        <v>81.28799989</v>
      </c>
      <c r="P28" s="56" t="n">
        <f aca="false">AC29-AC28</f>
        <v>0</v>
      </c>
      <c r="Q28" s="56" t="n">
        <v>0</v>
      </c>
      <c r="R28" s="56" t="n">
        <v>0</v>
      </c>
      <c r="S28" s="56" t="n">
        <f aca="false">AD29-AD28</f>
        <v>5</v>
      </c>
      <c r="T28" s="12"/>
      <c r="U28" s="11"/>
      <c r="V28" s="24" t="n">
        <f aca="false">V27+1</f>
        <v>26</v>
      </c>
      <c r="W28" s="12" t="n">
        <v>2452</v>
      </c>
      <c r="X28" s="12" t="n">
        <v>4054</v>
      </c>
      <c r="Y28" s="12" t="n">
        <v>9015</v>
      </c>
      <c r="Z28" s="12" t="n">
        <v>10755</v>
      </c>
      <c r="AA28" s="12" t="n">
        <v>1259</v>
      </c>
      <c r="AB28" s="12" t="n">
        <v>3379</v>
      </c>
      <c r="AC28" s="12" t="n">
        <v>336</v>
      </c>
      <c r="AD28" s="12" t="n">
        <v>3043</v>
      </c>
    </row>
    <row r="29" customFormat="false" ht="15.75" hidden="false" customHeight="false" outlineLevel="0" collapsed="false">
      <c r="A29" s="42" t="n">
        <f aca="false">A28+1</f>
        <v>45744</v>
      </c>
      <c r="B29" s="55" t="n">
        <v>1730.35799952</v>
      </c>
      <c r="C29" s="55" t="n">
        <v>276.61199993</v>
      </c>
      <c r="D29" s="56" t="n">
        <f aca="false">W30-W29</f>
        <v>73</v>
      </c>
      <c r="E29" s="56" t="n">
        <f aca="false">D29*0.13</f>
        <v>9.49</v>
      </c>
      <c r="F29" s="56" t="n">
        <f aca="false">X30-X29</f>
        <v>73</v>
      </c>
      <c r="G29" s="56" t="n">
        <f aca="false">F29*0.13</f>
        <v>9.49</v>
      </c>
      <c r="H29" s="56" t="n">
        <v>129.933333333333</v>
      </c>
      <c r="I29" s="56" t="n">
        <v>19</v>
      </c>
      <c r="J29" s="56" t="n">
        <v>46.4</v>
      </c>
      <c r="K29" s="56" t="n">
        <v>7</v>
      </c>
      <c r="L29" s="55" t="n">
        <v>35</v>
      </c>
      <c r="M29" s="55" t="n">
        <v>5</v>
      </c>
      <c r="N29" s="56" t="n">
        <v>379.79999942</v>
      </c>
      <c r="O29" s="56" t="n">
        <v>58.72799989</v>
      </c>
      <c r="P29" s="56" t="n">
        <f aca="false">AC30-AC29</f>
        <v>1</v>
      </c>
      <c r="Q29" s="56" t="n">
        <v>0</v>
      </c>
      <c r="R29" s="56" t="n">
        <v>0</v>
      </c>
      <c r="S29" s="56" t="n">
        <f aca="false">AD30-AD29</f>
        <v>4</v>
      </c>
      <c r="T29" s="12"/>
      <c r="U29" s="11"/>
      <c r="V29" s="24" t="n">
        <f aca="false">V28+1</f>
        <v>27</v>
      </c>
      <c r="W29" s="12" t="n">
        <v>2601</v>
      </c>
      <c r="X29" s="12" t="n">
        <v>4174</v>
      </c>
      <c r="Y29" s="12" t="n">
        <v>9017</v>
      </c>
      <c r="Z29" s="12" t="n">
        <v>10755</v>
      </c>
      <c r="AA29" s="12" t="n">
        <v>1259</v>
      </c>
      <c r="AB29" s="12" t="n">
        <v>3384</v>
      </c>
      <c r="AC29" s="12" t="n">
        <v>336</v>
      </c>
      <c r="AD29" s="12" t="n">
        <v>3048</v>
      </c>
    </row>
    <row r="30" customFormat="false" ht="15.75" hidden="false" customHeight="false" outlineLevel="0" collapsed="false">
      <c r="A30" s="42" t="n">
        <f aca="false">A29+1</f>
        <v>45745</v>
      </c>
      <c r="B30" s="55" t="n">
        <v>1346.56199948</v>
      </c>
      <c r="C30" s="55" t="n">
        <v>267.45599993</v>
      </c>
      <c r="D30" s="56" t="n">
        <f aca="false">W31-W30</f>
        <v>68</v>
      </c>
      <c r="E30" s="56" t="n">
        <f aca="false">D30*0.13</f>
        <v>8.84</v>
      </c>
      <c r="F30" s="56" t="n">
        <f aca="false">X31-X30</f>
        <v>59</v>
      </c>
      <c r="G30" s="56" t="n">
        <f aca="false">F30*0.13</f>
        <v>7.67</v>
      </c>
      <c r="H30" s="56" t="n">
        <v>129.933333333333</v>
      </c>
      <c r="I30" s="56" t="n">
        <v>19</v>
      </c>
      <c r="J30" s="56" t="n">
        <v>46.4</v>
      </c>
      <c r="K30" s="56" t="n">
        <v>7</v>
      </c>
      <c r="L30" s="55" t="n">
        <v>35</v>
      </c>
      <c r="M30" s="55" t="n">
        <v>5</v>
      </c>
      <c r="N30" s="56" t="n">
        <v>431.97599934</v>
      </c>
      <c r="O30" s="56" t="n">
        <v>80.5679999</v>
      </c>
      <c r="P30" s="56" t="n">
        <f aca="false">AC31-AC30</f>
        <v>1</v>
      </c>
      <c r="Q30" s="56" t="n">
        <v>0</v>
      </c>
      <c r="R30" s="56" t="n">
        <v>0</v>
      </c>
      <c r="S30" s="56" t="n">
        <f aca="false">AD31-AD30</f>
        <v>5</v>
      </c>
      <c r="T30" s="12"/>
      <c r="U30" s="11"/>
      <c r="V30" s="24" t="n">
        <f aca="false">V29+1</f>
        <v>28</v>
      </c>
      <c r="W30" s="12" t="n">
        <v>2674</v>
      </c>
      <c r="X30" s="12" t="n">
        <v>4247</v>
      </c>
      <c r="Y30" s="12" t="n">
        <v>9020</v>
      </c>
      <c r="Z30" s="12" t="n">
        <v>10756</v>
      </c>
      <c r="AA30" s="12" t="n">
        <v>1260</v>
      </c>
      <c r="AB30" s="12" t="n">
        <v>3390</v>
      </c>
      <c r="AC30" s="12" t="n">
        <v>337</v>
      </c>
      <c r="AD30" s="12" t="n">
        <v>3052</v>
      </c>
    </row>
    <row r="31" customFormat="false" ht="15.75" hidden="false" customHeight="false" outlineLevel="0" collapsed="false">
      <c r="A31" s="42" t="n">
        <f aca="false">A30+1</f>
        <v>45746</v>
      </c>
      <c r="B31" s="55" t="n">
        <v>1416.78599944</v>
      </c>
      <c r="C31" s="55" t="n">
        <v>276.6119999</v>
      </c>
      <c r="D31" s="56" t="n">
        <f aca="false">W32-W31</f>
        <v>59</v>
      </c>
      <c r="E31" s="56" t="n">
        <f aca="false">D31*0.13</f>
        <v>7.67</v>
      </c>
      <c r="F31" s="56" t="n">
        <f aca="false">X32-X31</f>
        <v>97</v>
      </c>
      <c r="G31" s="56" t="n">
        <f aca="false">F31*0.13</f>
        <v>12.61</v>
      </c>
      <c r="H31" s="56" t="n">
        <v>129.933333333333</v>
      </c>
      <c r="I31" s="56" t="n">
        <v>19</v>
      </c>
      <c r="J31" s="56" t="n">
        <v>46.4</v>
      </c>
      <c r="K31" s="56" t="n">
        <v>7</v>
      </c>
      <c r="L31" s="55" t="n">
        <v>35</v>
      </c>
      <c r="M31" s="55" t="n">
        <v>5</v>
      </c>
      <c r="N31" s="56" t="n">
        <v>418.75199938</v>
      </c>
      <c r="O31" s="56" t="n">
        <v>72.8879999</v>
      </c>
      <c r="P31" s="56" t="n">
        <f aca="false">AC32-AC31</f>
        <v>0</v>
      </c>
      <c r="Q31" s="56" t="n">
        <v>0</v>
      </c>
      <c r="R31" s="56" t="n">
        <v>0</v>
      </c>
      <c r="S31" s="56" t="n">
        <f aca="false">AD32-AD31</f>
        <v>6</v>
      </c>
      <c r="T31" s="12"/>
      <c r="U31" s="11"/>
      <c r="V31" s="24" t="n">
        <f aca="false">V30+1</f>
        <v>29</v>
      </c>
      <c r="W31" s="12" t="n">
        <v>2742</v>
      </c>
      <c r="X31" s="12" t="n">
        <v>4306</v>
      </c>
      <c r="Y31" s="12" t="n">
        <v>9020</v>
      </c>
      <c r="Z31" s="12" t="n">
        <v>10757</v>
      </c>
      <c r="AA31" s="12" t="n">
        <v>1260</v>
      </c>
      <c r="AB31" s="12" t="n">
        <v>3395</v>
      </c>
      <c r="AC31" s="12" t="n">
        <v>338</v>
      </c>
      <c r="AD31" s="12" t="n">
        <v>3057</v>
      </c>
    </row>
    <row r="32" customFormat="false" ht="15.75" hidden="false" customHeight="false" outlineLevel="0" collapsed="false">
      <c r="A32" s="42" t="n">
        <f aca="false">A31+1</f>
        <v>45747</v>
      </c>
      <c r="B32" s="55" t="n">
        <v>2142.41999953</v>
      </c>
      <c r="C32" s="55" t="n">
        <v>291.81599993</v>
      </c>
      <c r="D32" s="56" t="n">
        <f aca="false">W33-W32</f>
        <v>11</v>
      </c>
      <c r="E32" s="56" t="n">
        <f aca="false">D32*0.13</f>
        <v>1.43</v>
      </c>
      <c r="F32" s="56" t="n">
        <f aca="false">X33-X32</f>
        <v>86</v>
      </c>
      <c r="G32" s="56" t="n">
        <f aca="false">F32*0.13</f>
        <v>11.18</v>
      </c>
      <c r="H32" s="56" t="n">
        <v>129.933333333333</v>
      </c>
      <c r="I32" s="56" t="n">
        <v>19</v>
      </c>
      <c r="J32" s="56" t="n">
        <v>46.4</v>
      </c>
      <c r="K32" s="56" t="n">
        <v>7</v>
      </c>
      <c r="L32" s="55" t="n">
        <v>35</v>
      </c>
      <c r="M32" s="55" t="n">
        <v>5</v>
      </c>
      <c r="N32" s="56" t="n">
        <v>322.9679995</v>
      </c>
      <c r="O32" s="56" t="n">
        <v>57.52799991</v>
      </c>
      <c r="P32" s="56" t="n">
        <f aca="false">AC33-AC32</f>
        <v>0</v>
      </c>
      <c r="Q32" s="56" t="n">
        <v>0</v>
      </c>
      <c r="R32" s="56" t="n">
        <v>0</v>
      </c>
      <c r="S32" s="56" t="n">
        <f aca="false">AD33-AD32</f>
        <v>6</v>
      </c>
      <c r="T32" s="12"/>
      <c r="U32" s="11"/>
      <c r="V32" s="24" t="n">
        <f aca="false">V31+1</f>
        <v>30</v>
      </c>
      <c r="W32" s="12" t="n">
        <v>2801</v>
      </c>
      <c r="X32" s="12" t="n">
        <v>4403</v>
      </c>
      <c r="Y32" s="12" t="n">
        <v>9034</v>
      </c>
      <c r="Z32" s="12" t="n">
        <v>10757</v>
      </c>
      <c r="AA32" s="12" t="n">
        <v>1260</v>
      </c>
      <c r="AB32" s="12" t="n">
        <v>3402</v>
      </c>
      <c r="AC32" s="12" t="n">
        <v>338</v>
      </c>
      <c r="AD32" s="12" t="n">
        <v>3063</v>
      </c>
    </row>
    <row r="33" customFormat="false" ht="15.75" hidden="false" customHeight="false" outlineLevel="0" collapsed="false">
      <c r="A33" s="28"/>
      <c r="B33" s="37"/>
      <c r="C33" s="37"/>
      <c r="D33" s="37"/>
      <c r="E33" s="37"/>
      <c r="F33" s="37"/>
      <c r="G33" s="37"/>
      <c r="H33" s="37"/>
      <c r="I33" s="37"/>
      <c r="L33" s="28"/>
      <c r="M33" s="28"/>
      <c r="N33" s="28"/>
      <c r="O33" s="28"/>
      <c r="P33" s="28"/>
      <c r="Q33" s="28"/>
      <c r="R33" s="28"/>
      <c r="S33" s="28"/>
      <c r="U33" s="28"/>
      <c r="V33" s="24" t="n">
        <f aca="false">V32+1</f>
        <v>31</v>
      </c>
      <c r="W33" s="12" t="n">
        <v>2812</v>
      </c>
      <c r="X33" s="12" t="n">
        <v>4489</v>
      </c>
      <c r="Y33" s="12" t="n">
        <v>9036</v>
      </c>
      <c r="Z33" s="12" t="n">
        <v>10758</v>
      </c>
      <c r="AA33" s="12" t="n">
        <v>1260</v>
      </c>
      <c r="AB33" s="12" t="n">
        <v>3408</v>
      </c>
      <c r="AC33" s="12" t="n">
        <v>338</v>
      </c>
      <c r="AD33" s="12" t="n">
        <v>3069</v>
      </c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29" activeCellId="0" sqref="T2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12" min="12" style="1" width="7.42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45689</v>
      </c>
      <c r="B2" s="13" t="n">
        <v>1074.5699995</v>
      </c>
      <c r="C2" s="13" t="n">
        <v>174.92999994</v>
      </c>
      <c r="D2" s="13" t="n">
        <v>47.0666666666667</v>
      </c>
      <c r="E2" s="13" t="n">
        <v>7</v>
      </c>
      <c r="F2" s="13" t="n">
        <v>84.6</v>
      </c>
      <c r="G2" s="13" t="n">
        <v>13</v>
      </c>
      <c r="H2" s="13" t="n">
        <v>118</v>
      </c>
      <c r="I2" s="13" t="n">
        <v>18</v>
      </c>
      <c r="J2" s="13" t="n">
        <v>46</v>
      </c>
      <c r="K2" s="13" t="n">
        <v>7</v>
      </c>
      <c r="L2" s="13" t="n">
        <v>28</v>
      </c>
      <c r="M2" s="13" t="n">
        <v>4</v>
      </c>
      <c r="N2" s="13" t="n">
        <v>300.87999996</v>
      </c>
      <c r="O2" s="13" t="n">
        <v>52.67999999</v>
      </c>
      <c r="P2" s="13" t="n">
        <f aca="false">AC3-AC2</f>
        <v>0</v>
      </c>
      <c r="Q2" s="13" t="n">
        <v>0</v>
      </c>
      <c r="R2" s="13" t="n">
        <v>0</v>
      </c>
      <c r="S2" s="13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45690</v>
      </c>
      <c r="B3" s="13" t="n">
        <v>1008.79799943</v>
      </c>
      <c r="C3" s="13" t="n">
        <v>166.78199994</v>
      </c>
      <c r="D3" s="13" t="n">
        <v>47.0666666666667</v>
      </c>
      <c r="E3" s="13" t="n">
        <v>7</v>
      </c>
      <c r="F3" s="13" t="n">
        <v>84.6</v>
      </c>
      <c r="G3" s="13" t="n">
        <v>13</v>
      </c>
      <c r="H3" s="13" t="n">
        <v>118</v>
      </c>
      <c r="I3" s="13" t="n">
        <v>18</v>
      </c>
      <c r="J3" s="13" t="n">
        <v>46</v>
      </c>
      <c r="K3" s="13" t="n">
        <v>7</v>
      </c>
      <c r="L3" s="13" t="n">
        <v>28</v>
      </c>
      <c r="M3" s="13" t="n">
        <v>4</v>
      </c>
      <c r="N3" s="13" t="n">
        <v>317.87999992</v>
      </c>
      <c r="O3" s="13" t="n">
        <v>69.75999999</v>
      </c>
      <c r="P3" s="13" t="n">
        <f aca="false">AC4-AC3</f>
        <v>0</v>
      </c>
      <c r="Q3" s="13" t="n">
        <v>0</v>
      </c>
      <c r="R3" s="13" t="n">
        <v>0</v>
      </c>
      <c r="S3" s="13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2" t="n">
        <f aca="false">A3+1</f>
        <v>45691</v>
      </c>
      <c r="B4" s="13" t="n">
        <v>1648.83599952</v>
      </c>
      <c r="C4" s="13" t="n">
        <v>217.18199991</v>
      </c>
      <c r="D4" s="13" t="n">
        <v>47.0666666666667</v>
      </c>
      <c r="E4" s="13" t="n">
        <v>7</v>
      </c>
      <c r="F4" s="13" t="n">
        <v>84.6</v>
      </c>
      <c r="G4" s="13" t="n">
        <v>13</v>
      </c>
      <c r="H4" s="13" t="n">
        <v>118</v>
      </c>
      <c r="I4" s="13" t="n">
        <v>18</v>
      </c>
      <c r="J4" s="13" t="n">
        <v>46</v>
      </c>
      <c r="K4" s="13" t="n">
        <v>7</v>
      </c>
      <c r="L4" s="13" t="n">
        <v>28</v>
      </c>
      <c r="M4" s="13" t="n">
        <v>4</v>
      </c>
      <c r="N4" s="13" t="n">
        <v>278.35999994</v>
      </c>
      <c r="O4" s="13" t="n">
        <v>49</v>
      </c>
      <c r="P4" s="13" t="n">
        <f aca="false">AC5-AC4</f>
        <v>0</v>
      </c>
      <c r="Q4" s="13" t="n">
        <v>0</v>
      </c>
      <c r="R4" s="13" t="n">
        <v>0</v>
      </c>
      <c r="S4" s="13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2" t="n">
        <f aca="false">A4+1</f>
        <v>45692</v>
      </c>
      <c r="B5" s="13" t="n">
        <v>1583.77799946</v>
      </c>
      <c r="C5" s="13" t="n">
        <v>212.09999992</v>
      </c>
      <c r="D5" s="13" t="n">
        <v>47.0666666666667</v>
      </c>
      <c r="E5" s="13" t="n">
        <v>7</v>
      </c>
      <c r="F5" s="13" t="n">
        <v>84.6</v>
      </c>
      <c r="G5" s="13" t="n">
        <v>13</v>
      </c>
      <c r="H5" s="13" t="n">
        <v>118</v>
      </c>
      <c r="I5" s="13" t="n">
        <v>18</v>
      </c>
      <c r="J5" s="13" t="n">
        <v>46</v>
      </c>
      <c r="K5" s="13" t="n">
        <v>7</v>
      </c>
      <c r="L5" s="13" t="n">
        <v>28</v>
      </c>
      <c r="M5" s="13" t="n">
        <v>4</v>
      </c>
      <c r="N5" s="13" t="n">
        <v>294.07999996</v>
      </c>
      <c r="O5" s="13" t="n">
        <v>59.44</v>
      </c>
      <c r="P5" s="13" t="n">
        <f aca="false">AC6-AC5</f>
        <v>0</v>
      </c>
      <c r="Q5" s="13" t="n">
        <v>0</v>
      </c>
      <c r="R5" s="13" t="n">
        <v>0</v>
      </c>
      <c r="S5" s="13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2" t="n">
        <f aca="false">A5+1</f>
        <v>45693</v>
      </c>
      <c r="B6" s="13" t="n">
        <v>1867.57199952</v>
      </c>
      <c r="C6" s="13" t="n">
        <v>248.3879999</v>
      </c>
      <c r="D6" s="13" t="n">
        <v>47.0666666666667</v>
      </c>
      <c r="E6" s="13" t="n">
        <v>7</v>
      </c>
      <c r="F6" s="13" t="n">
        <v>84.6</v>
      </c>
      <c r="G6" s="13" t="n">
        <v>13</v>
      </c>
      <c r="H6" s="13" t="n">
        <v>118</v>
      </c>
      <c r="I6" s="13" t="n">
        <v>18</v>
      </c>
      <c r="J6" s="13" t="n">
        <v>46</v>
      </c>
      <c r="K6" s="13" t="n">
        <v>7</v>
      </c>
      <c r="L6" s="13" t="n">
        <v>28</v>
      </c>
      <c r="M6" s="13" t="n">
        <v>4</v>
      </c>
      <c r="N6" s="13" t="n">
        <v>306.83999993</v>
      </c>
      <c r="O6" s="13" t="n">
        <v>51.8</v>
      </c>
      <c r="P6" s="13" t="n">
        <f aca="false">AC7-AC6</f>
        <v>0</v>
      </c>
      <c r="Q6" s="13" t="n">
        <v>0</v>
      </c>
      <c r="R6" s="13" t="n">
        <v>0</v>
      </c>
      <c r="S6" s="13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2" t="n">
        <f aca="false">A6+1</f>
        <v>45694</v>
      </c>
      <c r="B7" s="13" t="n">
        <v>2027.84399948</v>
      </c>
      <c r="C7" s="13" t="n">
        <v>259.30799992</v>
      </c>
      <c r="D7" s="13" t="n">
        <v>47.0666666666667</v>
      </c>
      <c r="E7" s="13" t="n">
        <v>7</v>
      </c>
      <c r="F7" s="13" t="n">
        <v>84.6</v>
      </c>
      <c r="G7" s="13" t="n">
        <v>13</v>
      </c>
      <c r="H7" s="13" t="n">
        <v>118</v>
      </c>
      <c r="I7" s="13" t="n">
        <v>18</v>
      </c>
      <c r="J7" s="13" t="n">
        <v>46</v>
      </c>
      <c r="K7" s="13" t="n">
        <v>7</v>
      </c>
      <c r="L7" s="13" t="n">
        <v>28</v>
      </c>
      <c r="M7" s="13" t="n">
        <v>4</v>
      </c>
      <c r="N7" s="13" t="n">
        <v>327.39999996</v>
      </c>
      <c r="O7" s="13" t="n">
        <v>72.47999998</v>
      </c>
      <c r="P7" s="13" t="n">
        <f aca="false">AC8-AC7</f>
        <v>0</v>
      </c>
      <c r="Q7" s="13" t="n">
        <v>0</v>
      </c>
      <c r="R7" s="13" t="n">
        <v>0</v>
      </c>
      <c r="S7" s="13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2" t="n">
        <f aca="false">A7+1</f>
        <v>45695</v>
      </c>
      <c r="B8" s="13" t="n">
        <v>1550.38799942</v>
      </c>
      <c r="C8" s="13" t="n">
        <v>189.16799989</v>
      </c>
      <c r="D8" s="13" t="n">
        <v>47.0666666666667</v>
      </c>
      <c r="E8" s="13" t="n">
        <v>7</v>
      </c>
      <c r="F8" s="13" t="n">
        <v>84.6</v>
      </c>
      <c r="G8" s="13" t="n">
        <v>13</v>
      </c>
      <c r="H8" s="13" t="n">
        <v>118</v>
      </c>
      <c r="I8" s="13" t="n">
        <v>18</v>
      </c>
      <c r="J8" s="13" t="n">
        <v>46</v>
      </c>
      <c r="K8" s="13" t="n">
        <v>7</v>
      </c>
      <c r="L8" s="13" t="n">
        <v>28</v>
      </c>
      <c r="M8" s="13" t="n">
        <v>4</v>
      </c>
      <c r="N8" s="13" t="n">
        <v>376.55999994</v>
      </c>
      <c r="O8" s="13" t="n">
        <v>65.08</v>
      </c>
      <c r="P8" s="13" t="n">
        <f aca="false">AC9-AC8</f>
        <v>0</v>
      </c>
      <c r="Q8" s="13" t="n">
        <v>0</v>
      </c>
      <c r="R8" s="13" t="n">
        <v>0</v>
      </c>
      <c r="S8" s="13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2" t="n">
        <f aca="false">A8+1</f>
        <v>45696</v>
      </c>
      <c r="B9" s="13" t="n">
        <v>1150.4639995</v>
      </c>
      <c r="C9" s="13" t="n">
        <v>181.9019999</v>
      </c>
      <c r="D9" s="13" t="n">
        <v>47.0666666666667</v>
      </c>
      <c r="E9" s="13" t="n">
        <v>7</v>
      </c>
      <c r="F9" s="13" t="n">
        <v>84.6</v>
      </c>
      <c r="G9" s="13" t="n">
        <v>13</v>
      </c>
      <c r="H9" s="13" t="n">
        <v>118</v>
      </c>
      <c r="I9" s="13" t="n">
        <v>18</v>
      </c>
      <c r="J9" s="13" t="n">
        <v>46</v>
      </c>
      <c r="K9" s="13" t="n">
        <v>7</v>
      </c>
      <c r="L9" s="13" t="n">
        <v>28</v>
      </c>
      <c r="M9" s="13" t="n">
        <v>4</v>
      </c>
      <c r="N9" s="13" t="n">
        <v>363.11999991</v>
      </c>
      <c r="O9" s="13" t="n">
        <v>53.03999999</v>
      </c>
      <c r="P9" s="13" t="n">
        <f aca="false">AC10-AC9</f>
        <v>0</v>
      </c>
      <c r="Q9" s="13" t="n">
        <v>0</v>
      </c>
      <c r="R9" s="13" t="n">
        <v>0</v>
      </c>
      <c r="S9" s="13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2" t="n">
        <f aca="false">A9+1</f>
        <v>45697</v>
      </c>
      <c r="B10" s="13" t="n">
        <v>1067.55599949</v>
      </c>
      <c r="C10" s="13" t="n">
        <v>172.15799991</v>
      </c>
      <c r="D10" s="13" t="n">
        <v>47.0666666666667</v>
      </c>
      <c r="E10" s="13" t="n">
        <v>7</v>
      </c>
      <c r="F10" s="13" t="n">
        <v>84.6</v>
      </c>
      <c r="G10" s="13" t="n">
        <v>13</v>
      </c>
      <c r="H10" s="13" t="n">
        <v>118</v>
      </c>
      <c r="I10" s="13" t="n">
        <v>18</v>
      </c>
      <c r="J10" s="13" t="n">
        <v>46</v>
      </c>
      <c r="K10" s="13" t="n">
        <v>7</v>
      </c>
      <c r="L10" s="13" t="n">
        <v>28</v>
      </c>
      <c r="M10" s="13" t="n">
        <v>4</v>
      </c>
      <c r="N10" s="13" t="n">
        <v>361.87999992</v>
      </c>
      <c r="O10" s="13" t="n">
        <v>74.71999998</v>
      </c>
      <c r="P10" s="13" t="n">
        <f aca="false">AC11-AC10</f>
        <v>0</v>
      </c>
      <c r="Q10" s="13" t="n">
        <v>0</v>
      </c>
      <c r="R10" s="13" t="n">
        <v>0</v>
      </c>
      <c r="S10" s="13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2" t="n">
        <f aca="false">A10+1</f>
        <v>45698</v>
      </c>
      <c r="B11" s="13" t="n">
        <v>1826.74799953</v>
      </c>
      <c r="C11" s="13" t="n">
        <v>228.14399994</v>
      </c>
      <c r="D11" s="13" t="n">
        <v>47.0666666666667</v>
      </c>
      <c r="E11" s="13" t="n">
        <v>7</v>
      </c>
      <c r="F11" s="13" t="n">
        <v>84.6</v>
      </c>
      <c r="G11" s="13" t="n">
        <v>13</v>
      </c>
      <c r="H11" s="13" t="n">
        <v>118</v>
      </c>
      <c r="I11" s="13" t="n">
        <v>18</v>
      </c>
      <c r="J11" s="13" t="n">
        <v>46</v>
      </c>
      <c r="K11" s="13" t="n">
        <v>7</v>
      </c>
      <c r="L11" s="13" t="n">
        <v>28</v>
      </c>
      <c r="M11" s="13" t="n">
        <v>4</v>
      </c>
      <c r="N11" s="13" t="n">
        <v>340.87999996</v>
      </c>
      <c r="O11" s="13" t="n">
        <v>57.84</v>
      </c>
      <c r="P11" s="13" t="n">
        <f aca="false">AC12-AC11</f>
        <v>0</v>
      </c>
      <c r="Q11" s="13" t="n">
        <v>0</v>
      </c>
      <c r="R11" s="13" t="n">
        <v>0</v>
      </c>
      <c r="S11" s="13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2" t="n">
        <f aca="false">A11+1</f>
        <v>45699</v>
      </c>
      <c r="B12" s="13" t="n">
        <v>1920.19799953</v>
      </c>
      <c r="C12" s="13" t="n">
        <v>220.75199995</v>
      </c>
      <c r="D12" s="13" t="n">
        <v>47.0666666666667</v>
      </c>
      <c r="E12" s="13" t="n">
        <v>7</v>
      </c>
      <c r="F12" s="13" t="n">
        <v>84.6</v>
      </c>
      <c r="G12" s="13" t="n">
        <v>13</v>
      </c>
      <c r="H12" s="13" t="n">
        <v>118</v>
      </c>
      <c r="I12" s="13" t="n">
        <v>18</v>
      </c>
      <c r="J12" s="13" t="n">
        <v>46</v>
      </c>
      <c r="K12" s="13" t="n">
        <v>7</v>
      </c>
      <c r="L12" s="13" t="n">
        <v>28</v>
      </c>
      <c r="M12" s="13" t="n">
        <v>4</v>
      </c>
      <c r="N12" s="13" t="n">
        <v>348.43999997</v>
      </c>
      <c r="O12" s="13" t="n">
        <v>70.35999999</v>
      </c>
      <c r="P12" s="13" t="n">
        <f aca="false">AC13-AC12</f>
        <v>0</v>
      </c>
      <c r="Q12" s="13" t="n">
        <v>0</v>
      </c>
      <c r="R12" s="13" t="n">
        <v>0</v>
      </c>
      <c r="S12" s="13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2" t="n">
        <f aca="false">A12+1</f>
        <v>45700</v>
      </c>
      <c r="B13" s="13" t="n">
        <v>1750.93799943</v>
      </c>
      <c r="C13" s="13" t="n">
        <v>197.77799992</v>
      </c>
      <c r="D13" s="13" t="n">
        <v>47.0666666666667</v>
      </c>
      <c r="E13" s="13" t="n">
        <v>7</v>
      </c>
      <c r="F13" s="13" t="n">
        <v>84.6</v>
      </c>
      <c r="G13" s="13" t="n">
        <v>13</v>
      </c>
      <c r="H13" s="13" t="n">
        <v>118</v>
      </c>
      <c r="I13" s="13" t="n">
        <v>18</v>
      </c>
      <c r="J13" s="13" t="n">
        <v>46</v>
      </c>
      <c r="K13" s="13" t="n">
        <v>7</v>
      </c>
      <c r="L13" s="13" t="n">
        <v>28</v>
      </c>
      <c r="M13" s="13" t="n">
        <v>4</v>
      </c>
      <c r="N13" s="13" t="n">
        <v>207.87199986</v>
      </c>
      <c r="O13" s="13" t="n">
        <v>38.27999994</v>
      </c>
      <c r="P13" s="13" t="n">
        <f aca="false">AC14-AC13</f>
        <v>0</v>
      </c>
      <c r="Q13" s="13" t="n">
        <v>0</v>
      </c>
      <c r="R13" s="13" t="n">
        <v>0</v>
      </c>
      <c r="S13" s="13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2" t="n">
        <f aca="false">A13+1</f>
        <v>45701</v>
      </c>
      <c r="B14" s="13" t="n">
        <v>1862.44799952</v>
      </c>
      <c r="C14" s="13" t="n">
        <v>228.43799994</v>
      </c>
      <c r="D14" s="13" t="n">
        <v>47.0666666666667</v>
      </c>
      <c r="E14" s="13" t="n">
        <v>7</v>
      </c>
      <c r="F14" s="13" t="n">
        <v>84.6</v>
      </c>
      <c r="G14" s="13" t="n">
        <v>13</v>
      </c>
      <c r="H14" s="13" t="n">
        <v>118</v>
      </c>
      <c r="I14" s="13" t="n">
        <v>18</v>
      </c>
      <c r="J14" s="13" t="n">
        <v>46</v>
      </c>
      <c r="K14" s="13" t="n">
        <v>7</v>
      </c>
      <c r="L14" s="13" t="n">
        <v>28</v>
      </c>
      <c r="M14" s="13" t="n">
        <v>4</v>
      </c>
      <c r="N14" s="13" t="n">
        <v>366.79199932</v>
      </c>
      <c r="O14" s="13" t="n">
        <v>56.42399987</v>
      </c>
      <c r="P14" s="13" t="n">
        <f aca="false">AC15-AC14</f>
        <v>0</v>
      </c>
      <c r="Q14" s="13" t="n">
        <v>0</v>
      </c>
      <c r="R14" s="13" t="n">
        <v>0</v>
      </c>
      <c r="S14" s="13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2" t="n">
        <f aca="false">A14+1</f>
        <v>45702</v>
      </c>
      <c r="B15" s="13" t="n">
        <v>1605.74399952</v>
      </c>
      <c r="C15" s="13" t="n">
        <v>208.23599991</v>
      </c>
      <c r="D15" s="13" t="n">
        <v>47.0666666666667</v>
      </c>
      <c r="E15" s="13" t="n">
        <v>7</v>
      </c>
      <c r="F15" s="13" t="n">
        <v>84.6</v>
      </c>
      <c r="G15" s="13" t="n">
        <v>13</v>
      </c>
      <c r="H15" s="13" t="n">
        <v>118</v>
      </c>
      <c r="I15" s="13" t="n">
        <v>18</v>
      </c>
      <c r="J15" s="13" t="n">
        <v>46</v>
      </c>
      <c r="K15" s="13" t="n">
        <v>7</v>
      </c>
      <c r="L15" s="13" t="n">
        <v>28</v>
      </c>
      <c r="M15" s="13" t="n">
        <v>4</v>
      </c>
      <c r="N15" s="13" t="n">
        <v>383.23199935</v>
      </c>
      <c r="O15" s="13" t="n">
        <v>53.35199993</v>
      </c>
      <c r="P15" s="13" t="n">
        <f aca="false">AC16-AC15</f>
        <v>0</v>
      </c>
      <c r="Q15" s="13" t="n">
        <v>0</v>
      </c>
      <c r="R15" s="13" t="n">
        <v>0</v>
      </c>
      <c r="S15" s="13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2" t="n">
        <f aca="false">A15+1</f>
        <v>45703</v>
      </c>
      <c r="B16" s="13" t="n">
        <v>1204.76999955</v>
      </c>
      <c r="C16" s="13" t="n">
        <v>217.18199995</v>
      </c>
      <c r="D16" s="13" t="n">
        <v>47.0666666666667</v>
      </c>
      <c r="E16" s="13" t="n">
        <v>7</v>
      </c>
      <c r="F16" s="13" t="n">
        <v>84.6</v>
      </c>
      <c r="G16" s="13" t="n">
        <v>13</v>
      </c>
      <c r="H16" s="13" t="n">
        <v>118</v>
      </c>
      <c r="I16" s="13" t="n">
        <v>18</v>
      </c>
      <c r="J16" s="13" t="n">
        <v>46</v>
      </c>
      <c r="K16" s="13" t="n">
        <v>7</v>
      </c>
      <c r="L16" s="13" t="n">
        <v>28</v>
      </c>
      <c r="M16" s="13" t="n">
        <v>4</v>
      </c>
      <c r="N16" s="13" t="n">
        <v>405.38399945</v>
      </c>
      <c r="O16" s="13" t="n">
        <v>70.96799993</v>
      </c>
      <c r="P16" s="13" t="n">
        <f aca="false">AC17-AC16</f>
        <v>0</v>
      </c>
      <c r="Q16" s="13" t="n">
        <v>0</v>
      </c>
      <c r="R16" s="13" t="n">
        <v>0</v>
      </c>
      <c r="S16" s="13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2" t="n">
        <f aca="false">A16+1</f>
        <v>45704</v>
      </c>
      <c r="B17" s="13" t="n">
        <v>1332.32399955</v>
      </c>
      <c r="C17" s="13" t="n">
        <v>234.82199993</v>
      </c>
      <c r="D17" s="13" t="n">
        <v>47.0666666666667</v>
      </c>
      <c r="E17" s="13" t="n">
        <v>7</v>
      </c>
      <c r="F17" s="13" t="n">
        <v>84.6</v>
      </c>
      <c r="G17" s="13" t="n">
        <v>13</v>
      </c>
      <c r="H17" s="13" t="n">
        <v>118</v>
      </c>
      <c r="I17" s="13" t="n">
        <v>18</v>
      </c>
      <c r="J17" s="13" t="n">
        <v>46</v>
      </c>
      <c r="K17" s="13" t="n">
        <v>7</v>
      </c>
      <c r="L17" s="13" t="n">
        <v>28</v>
      </c>
      <c r="M17" s="13" t="n">
        <v>4</v>
      </c>
      <c r="N17" s="13" t="n">
        <v>419.06399934</v>
      </c>
      <c r="O17" s="13" t="n">
        <v>81.26399991</v>
      </c>
      <c r="P17" s="13" t="n">
        <f aca="false">AC18-AC17</f>
        <v>0</v>
      </c>
      <c r="Q17" s="13" t="n">
        <v>0</v>
      </c>
      <c r="R17" s="13" t="n">
        <v>0</v>
      </c>
      <c r="S17" s="13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2" t="n">
        <f aca="false">A17+1</f>
        <v>45705</v>
      </c>
      <c r="B18" s="13" t="n">
        <v>2023.22399945</v>
      </c>
      <c r="C18" s="13" t="n">
        <v>268.58999995</v>
      </c>
      <c r="D18" s="13" t="n">
        <v>47.0666666666667</v>
      </c>
      <c r="E18" s="13" t="n">
        <v>7</v>
      </c>
      <c r="F18" s="13" t="n">
        <v>84.6</v>
      </c>
      <c r="G18" s="13" t="n">
        <v>13</v>
      </c>
      <c r="H18" s="13" t="n">
        <v>118</v>
      </c>
      <c r="I18" s="13" t="n">
        <v>18</v>
      </c>
      <c r="J18" s="13" t="n">
        <v>46</v>
      </c>
      <c r="K18" s="13" t="n">
        <v>7</v>
      </c>
      <c r="L18" s="13" t="n">
        <v>28</v>
      </c>
      <c r="M18" s="13" t="n">
        <v>4</v>
      </c>
      <c r="N18" s="13" t="n">
        <v>391.43999945</v>
      </c>
      <c r="O18" s="13" t="n">
        <v>72.59999989</v>
      </c>
      <c r="P18" s="13" t="n">
        <f aca="false">AC19-AC18</f>
        <v>0</v>
      </c>
      <c r="Q18" s="13" t="n">
        <v>0</v>
      </c>
      <c r="R18" s="13" t="n">
        <v>0</v>
      </c>
      <c r="S18" s="13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2" t="n">
        <f aca="false">A18+1</f>
        <v>45706</v>
      </c>
      <c r="B19" s="13" t="n">
        <v>2197.18799951</v>
      </c>
      <c r="C19" s="13" t="n">
        <v>283.54199992</v>
      </c>
      <c r="D19" s="13" t="n">
        <v>47.0666666666667</v>
      </c>
      <c r="E19" s="13" t="n">
        <v>7</v>
      </c>
      <c r="F19" s="13" t="n">
        <v>84.6</v>
      </c>
      <c r="G19" s="13" t="n">
        <v>13</v>
      </c>
      <c r="H19" s="13" t="n">
        <v>118</v>
      </c>
      <c r="I19" s="13" t="n">
        <v>18</v>
      </c>
      <c r="J19" s="13" t="n">
        <v>46</v>
      </c>
      <c r="K19" s="13" t="n">
        <v>7</v>
      </c>
      <c r="L19" s="13" t="n">
        <v>28</v>
      </c>
      <c r="M19" s="13" t="n">
        <v>4</v>
      </c>
      <c r="N19" s="13" t="n">
        <v>395.08799942</v>
      </c>
      <c r="O19" s="13" t="n">
        <v>69.6239999</v>
      </c>
      <c r="P19" s="13" t="n">
        <f aca="false">AC20-AC19</f>
        <v>0</v>
      </c>
      <c r="Q19" s="13" t="n">
        <v>0</v>
      </c>
      <c r="R19" s="13" t="n">
        <v>0</v>
      </c>
      <c r="S19" s="13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2" t="n">
        <f aca="false">A19+1</f>
        <v>45707</v>
      </c>
      <c r="B20" s="13" t="n">
        <v>2304.79199944</v>
      </c>
      <c r="C20" s="13" t="n">
        <v>304.83599993</v>
      </c>
      <c r="D20" s="13" t="n">
        <v>47.0666666666667</v>
      </c>
      <c r="E20" s="13" t="n">
        <v>7</v>
      </c>
      <c r="F20" s="13" t="n">
        <v>84.6</v>
      </c>
      <c r="G20" s="13" t="n">
        <v>13</v>
      </c>
      <c r="H20" s="13" t="n">
        <v>118</v>
      </c>
      <c r="I20" s="13" t="n">
        <v>18</v>
      </c>
      <c r="J20" s="13" t="n">
        <v>46</v>
      </c>
      <c r="K20" s="13" t="n">
        <v>7</v>
      </c>
      <c r="L20" s="13" t="n">
        <v>28</v>
      </c>
      <c r="M20" s="13" t="n">
        <v>4</v>
      </c>
      <c r="N20" s="13" t="n">
        <v>396.04799926</v>
      </c>
      <c r="O20" s="13" t="n">
        <v>68.06399988</v>
      </c>
      <c r="P20" s="13" t="n">
        <f aca="false">AC21-AC20</f>
        <v>0</v>
      </c>
      <c r="Q20" s="13" t="n">
        <v>0</v>
      </c>
      <c r="R20" s="13" t="n">
        <v>0</v>
      </c>
      <c r="S20" s="13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2" t="n">
        <f aca="false">A20+1</f>
        <v>45708</v>
      </c>
      <c r="B21" s="13" t="n">
        <v>2337.59399943</v>
      </c>
      <c r="C21" s="13" t="n">
        <v>337.21799993</v>
      </c>
      <c r="D21" s="13" t="n">
        <v>47.0666666666667</v>
      </c>
      <c r="E21" s="13" t="n">
        <v>7</v>
      </c>
      <c r="F21" s="13" t="n">
        <v>84.6</v>
      </c>
      <c r="G21" s="13" t="n">
        <v>13</v>
      </c>
      <c r="H21" s="13" t="n">
        <v>118</v>
      </c>
      <c r="I21" s="13" t="n">
        <v>18</v>
      </c>
      <c r="J21" s="13" t="n">
        <v>46</v>
      </c>
      <c r="K21" s="13" t="n">
        <v>7</v>
      </c>
      <c r="L21" s="13" t="n">
        <v>28</v>
      </c>
      <c r="M21" s="13" t="n">
        <v>4</v>
      </c>
      <c r="N21" s="13" t="n">
        <v>397.99199934</v>
      </c>
      <c r="O21" s="13" t="n">
        <v>72.26399988</v>
      </c>
      <c r="P21" s="13" t="n">
        <f aca="false">AC22-AC21</f>
        <v>0</v>
      </c>
      <c r="Q21" s="13" t="n">
        <v>0</v>
      </c>
      <c r="R21" s="13" t="n">
        <v>0</v>
      </c>
      <c r="S21" s="13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2" t="n">
        <f aca="false">A21+1</f>
        <v>45709</v>
      </c>
      <c r="B22" s="13" t="n">
        <v>1518.42599954</v>
      </c>
      <c r="C22" s="13" t="n">
        <v>171.98999992</v>
      </c>
      <c r="D22" s="13" t="n">
        <v>47.0666666666667</v>
      </c>
      <c r="E22" s="13" t="n">
        <v>7</v>
      </c>
      <c r="F22" s="13" t="n">
        <v>84.6</v>
      </c>
      <c r="G22" s="13" t="n">
        <v>13</v>
      </c>
      <c r="H22" s="13" t="n">
        <v>118</v>
      </c>
      <c r="I22" s="13" t="n">
        <v>18</v>
      </c>
      <c r="J22" s="13" t="n">
        <v>46</v>
      </c>
      <c r="K22" s="13" t="n">
        <v>7</v>
      </c>
      <c r="L22" s="13" t="n">
        <v>28</v>
      </c>
      <c r="M22" s="13" t="n">
        <v>4</v>
      </c>
      <c r="N22" s="13" t="n">
        <v>413.66399931</v>
      </c>
      <c r="O22" s="13" t="n">
        <v>74.2079999</v>
      </c>
      <c r="P22" s="13" t="n">
        <f aca="false">AC23-AC22</f>
        <v>0</v>
      </c>
      <c r="Q22" s="13" t="n">
        <v>0</v>
      </c>
      <c r="R22" s="13" t="n">
        <v>0</v>
      </c>
      <c r="S22" s="13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2" t="n">
        <f aca="false">A22+1</f>
        <v>45710</v>
      </c>
      <c r="B23" s="13" t="n">
        <v>1315.60799957</v>
      </c>
      <c r="C23" s="13" t="n">
        <v>219.61799993</v>
      </c>
      <c r="D23" s="13" t="n">
        <v>47.0666666666667</v>
      </c>
      <c r="E23" s="13" t="n">
        <v>7</v>
      </c>
      <c r="F23" s="13" t="n">
        <v>84.6</v>
      </c>
      <c r="G23" s="13" t="n">
        <v>13</v>
      </c>
      <c r="H23" s="13" t="n">
        <v>118</v>
      </c>
      <c r="I23" s="13" t="n">
        <v>18</v>
      </c>
      <c r="J23" s="13" t="n">
        <v>46</v>
      </c>
      <c r="K23" s="13" t="n">
        <v>7</v>
      </c>
      <c r="L23" s="13" t="n">
        <v>28</v>
      </c>
      <c r="M23" s="13" t="n">
        <v>4</v>
      </c>
      <c r="N23" s="13" t="n">
        <v>391.55999944</v>
      </c>
      <c r="O23" s="13" t="n">
        <v>73.89599988</v>
      </c>
      <c r="P23" s="13" t="n">
        <f aca="false">AC24-AC23</f>
        <v>0</v>
      </c>
      <c r="Q23" s="13" t="n">
        <v>0</v>
      </c>
      <c r="R23" s="13" t="n">
        <v>0</v>
      </c>
      <c r="S23" s="13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2" t="n">
        <f aca="false">A23+1</f>
        <v>45711</v>
      </c>
      <c r="B24" s="13" t="n">
        <v>1307.41799951</v>
      </c>
      <c r="C24" s="13" t="n">
        <v>234.65399993</v>
      </c>
      <c r="D24" s="13" t="n">
        <v>47.0666666666667</v>
      </c>
      <c r="E24" s="13" t="n">
        <v>7</v>
      </c>
      <c r="F24" s="13" t="n">
        <v>84.6</v>
      </c>
      <c r="G24" s="13" t="n">
        <v>13</v>
      </c>
      <c r="H24" s="13" t="n">
        <v>118</v>
      </c>
      <c r="I24" s="13" t="n">
        <v>18</v>
      </c>
      <c r="J24" s="13" t="n">
        <v>46</v>
      </c>
      <c r="K24" s="13" t="n">
        <v>7</v>
      </c>
      <c r="L24" s="13" t="n">
        <v>28</v>
      </c>
      <c r="M24" s="13" t="n">
        <v>4</v>
      </c>
      <c r="N24" s="13" t="n">
        <v>447.1919993</v>
      </c>
      <c r="O24" s="13" t="n">
        <v>74.87999989</v>
      </c>
      <c r="P24" s="13" t="n">
        <f aca="false">AC25-AC24</f>
        <v>0</v>
      </c>
      <c r="Q24" s="13" t="n">
        <v>0</v>
      </c>
      <c r="R24" s="13" t="n">
        <v>0</v>
      </c>
      <c r="S24" s="13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2" t="n">
        <f aca="false">A24+1</f>
        <v>45712</v>
      </c>
      <c r="B25" s="13" t="n">
        <v>2097.39599953</v>
      </c>
      <c r="C25" s="13" t="n">
        <v>308.86799991</v>
      </c>
      <c r="D25" s="13" t="n">
        <v>47.0666666666667</v>
      </c>
      <c r="E25" s="13" t="n">
        <v>7</v>
      </c>
      <c r="F25" s="13" t="n">
        <v>84.6</v>
      </c>
      <c r="G25" s="13" t="n">
        <v>13</v>
      </c>
      <c r="H25" s="13" t="n">
        <v>118</v>
      </c>
      <c r="I25" s="13" t="n">
        <v>18</v>
      </c>
      <c r="J25" s="13" t="n">
        <v>46</v>
      </c>
      <c r="K25" s="13" t="n">
        <v>7</v>
      </c>
      <c r="L25" s="13" t="n">
        <v>28</v>
      </c>
      <c r="M25" s="13" t="n">
        <v>4</v>
      </c>
      <c r="N25" s="13" t="n">
        <v>385.63199932</v>
      </c>
      <c r="O25" s="13" t="n">
        <v>72.35999991</v>
      </c>
      <c r="P25" s="13" t="n">
        <f aca="false">AC26-AC25</f>
        <v>0</v>
      </c>
      <c r="Q25" s="13" t="n">
        <v>0</v>
      </c>
      <c r="R25" s="13" t="n">
        <v>0</v>
      </c>
      <c r="S25" s="13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2" t="n">
        <f aca="false">A25+1</f>
        <v>45713</v>
      </c>
      <c r="B26" s="13" t="n">
        <v>1973.24399953</v>
      </c>
      <c r="C26" s="13" t="n">
        <v>303.07199995</v>
      </c>
      <c r="D26" s="13" t="n">
        <v>47.0666666666667</v>
      </c>
      <c r="E26" s="13" t="n">
        <v>7</v>
      </c>
      <c r="F26" s="13" t="n">
        <v>84.6</v>
      </c>
      <c r="G26" s="13" t="n">
        <v>13</v>
      </c>
      <c r="H26" s="13" t="n">
        <v>118</v>
      </c>
      <c r="I26" s="13" t="n">
        <v>18</v>
      </c>
      <c r="J26" s="13" t="n">
        <v>46</v>
      </c>
      <c r="K26" s="13" t="n">
        <v>7</v>
      </c>
      <c r="L26" s="13" t="n">
        <v>28</v>
      </c>
      <c r="M26" s="13" t="n">
        <v>4</v>
      </c>
      <c r="N26" s="13" t="n">
        <v>371.1359994</v>
      </c>
      <c r="O26" s="13" t="n">
        <v>75.76799988</v>
      </c>
      <c r="P26" s="13" t="n">
        <f aca="false">AC27-AC26</f>
        <v>0</v>
      </c>
      <c r="Q26" s="13" t="n">
        <v>0</v>
      </c>
      <c r="R26" s="13" t="n">
        <v>0</v>
      </c>
      <c r="S26" s="13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2" t="n">
        <f aca="false">A26+1</f>
        <v>45714</v>
      </c>
      <c r="B27" s="13" t="n">
        <v>2176.60799956</v>
      </c>
      <c r="C27" s="13" t="n">
        <v>336.54599995</v>
      </c>
      <c r="D27" s="13" t="n">
        <v>47.0666666666667</v>
      </c>
      <c r="E27" s="13" t="n">
        <v>7</v>
      </c>
      <c r="F27" s="13" t="n">
        <v>84.6</v>
      </c>
      <c r="G27" s="13" t="n">
        <v>13</v>
      </c>
      <c r="H27" s="13" t="n">
        <v>118</v>
      </c>
      <c r="I27" s="13" t="n">
        <v>18</v>
      </c>
      <c r="J27" s="13" t="n">
        <v>46</v>
      </c>
      <c r="K27" s="13" t="n">
        <v>7</v>
      </c>
      <c r="L27" s="13" t="n">
        <v>28</v>
      </c>
      <c r="M27" s="13" t="n">
        <v>4</v>
      </c>
      <c r="N27" s="13" t="n">
        <v>360.23999929</v>
      </c>
      <c r="O27" s="13" t="n">
        <v>72.55199989</v>
      </c>
      <c r="P27" s="13" t="n">
        <f aca="false">AC28-AC27</f>
        <v>0</v>
      </c>
      <c r="Q27" s="13" t="n">
        <v>0</v>
      </c>
      <c r="R27" s="13" t="n">
        <v>0</v>
      </c>
      <c r="S27" s="13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2" t="n">
        <f aca="false">A27+1</f>
        <v>45715</v>
      </c>
      <c r="B28" s="13" t="n">
        <v>2302.98599954</v>
      </c>
      <c r="C28" s="13" t="n">
        <v>335.91599991</v>
      </c>
      <c r="D28" s="13" t="n">
        <v>47.0666666666667</v>
      </c>
      <c r="E28" s="13" t="n">
        <v>7</v>
      </c>
      <c r="F28" s="13" t="n">
        <v>84.6</v>
      </c>
      <c r="G28" s="13" t="n">
        <v>13</v>
      </c>
      <c r="H28" s="13" t="n">
        <v>118</v>
      </c>
      <c r="I28" s="13" t="n">
        <v>18</v>
      </c>
      <c r="J28" s="13" t="n">
        <v>46</v>
      </c>
      <c r="K28" s="13" t="n">
        <v>7</v>
      </c>
      <c r="L28" s="13" t="n">
        <v>28</v>
      </c>
      <c r="M28" s="13" t="n">
        <v>4</v>
      </c>
      <c r="N28" s="13" t="n">
        <v>399.07199945</v>
      </c>
      <c r="O28" s="13" t="n">
        <v>72.35999988</v>
      </c>
      <c r="P28" s="13" t="n">
        <f aca="false">AC29-AC28</f>
        <v>0</v>
      </c>
      <c r="Q28" s="13" t="n">
        <v>0</v>
      </c>
      <c r="R28" s="13" t="n">
        <v>0</v>
      </c>
      <c r="S28" s="13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2" t="n">
        <f aca="false">A28+1</f>
        <v>45716</v>
      </c>
      <c r="B29" s="13" t="n">
        <v>1708.68599947</v>
      </c>
      <c r="C29" s="13" t="n">
        <v>268.16999991</v>
      </c>
      <c r="D29" s="13" t="n">
        <v>47.0666666666667</v>
      </c>
      <c r="E29" s="13" t="n">
        <v>7</v>
      </c>
      <c r="F29" s="13" t="n">
        <v>84.6</v>
      </c>
      <c r="G29" s="13" t="n">
        <v>13</v>
      </c>
      <c r="H29" s="13" t="n">
        <v>118</v>
      </c>
      <c r="I29" s="13" t="n">
        <v>18</v>
      </c>
      <c r="J29" s="13" t="n">
        <v>46</v>
      </c>
      <c r="K29" s="13" t="n">
        <v>7</v>
      </c>
      <c r="L29" s="13" t="n">
        <v>28</v>
      </c>
      <c r="M29" s="13" t="n">
        <v>4</v>
      </c>
      <c r="N29" s="13" t="n">
        <v>389.90399933</v>
      </c>
      <c r="O29" s="13" t="n">
        <v>68.44799992</v>
      </c>
      <c r="P29" s="13" t="n">
        <f aca="false">AC30-AC29</f>
        <v>0</v>
      </c>
      <c r="Q29" s="13" t="n">
        <v>0</v>
      </c>
      <c r="R29" s="13" t="n">
        <v>0</v>
      </c>
      <c r="S29" s="13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28"/>
      <c r="B30" s="54"/>
      <c r="C30" s="5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true" outlineLevel="0" collapsed="false">
      <c r="A31" s="28"/>
      <c r="B31" s="54"/>
      <c r="C31" s="5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2.75" hidden="false" customHeight="false" outlineLevel="0" collapsed="false">
      <c r="A32" s="28"/>
      <c r="B32" s="29"/>
      <c r="C32" s="29"/>
      <c r="D32" s="29"/>
      <c r="E32" s="29"/>
      <c r="F32" s="29"/>
      <c r="G32" s="29"/>
      <c r="H32" s="29"/>
      <c r="I32" s="29"/>
      <c r="T32" s="37"/>
    </row>
    <row r="33" customFormat="false" ht="12.7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</row>
    <row r="34" customFormat="false" ht="12.7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8"/>
    </row>
    <row r="35" customFormat="false" ht="12.7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9"/>
    </row>
    <row r="68" customFormat="false" ht="12.75" hidden="false" customHeight="false" outlineLevel="0" collapsed="false">
      <c r="A68" s="28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2" customFormat="false" ht="12.75" hidden="false" customHeight="false" outlineLevel="0" collapsed="false">
      <c r="A72" s="32"/>
      <c r="B72" s="32"/>
      <c r="C72" s="32"/>
      <c r="D72" s="32"/>
      <c r="E72" s="32"/>
      <c r="F72" s="32"/>
      <c r="G72" s="32"/>
      <c r="H72" s="32"/>
      <c r="I72" s="32"/>
    </row>
    <row r="73" customFormat="false" ht="12.75" hidden="false" customHeight="false" outlineLevel="0" collapsed="false">
      <c r="A73" s="28"/>
      <c r="B73" s="33"/>
      <c r="C73" s="33"/>
      <c r="D73" s="33"/>
      <c r="E73" s="33"/>
      <c r="F73" s="33"/>
      <c r="G73" s="33"/>
      <c r="H73" s="33"/>
      <c r="I73" s="33"/>
    </row>
    <row r="74" customFormat="false" ht="12.75" hidden="false" customHeight="false" outlineLevel="0" collapsed="false">
      <c r="A74" s="28"/>
      <c r="B74" s="34"/>
      <c r="C74" s="34"/>
      <c r="D74" s="34"/>
      <c r="E74" s="34"/>
      <c r="F74" s="34"/>
      <c r="G74" s="34"/>
      <c r="H74" s="34"/>
      <c r="I74" s="34"/>
    </row>
    <row r="75" customFormat="false" ht="12.75" hidden="false" customHeight="false" outlineLevel="0" collapsed="false">
      <c r="A75" s="28"/>
      <c r="B75" s="34"/>
      <c r="C75" s="34"/>
      <c r="D75" s="34"/>
      <c r="E75" s="34"/>
      <c r="F75" s="34"/>
      <c r="G75" s="34"/>
      <c r="H75" s="34"/>
      <c r="I75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28"/>
      <c r="B77" s="28"/>
      <c r="C77" s="28"/>
      <c r="D77" s="28"/>
      <c r="E77" s="28"/>
      <c r="F77" s="28"/>
      <c r="G77" s="28"/>
      <c r="H77" s="28"/>
      <c r="I77" s="28"/>
    </row>
    <row r="78" customFormat="false" ht="12.75" hidden="false" customHeight="false" outlineLevel="0" collapsed="false">
      <c r="A78" s="28"/>
      <c r="B78" s="28"/>
      <c r="C78" s="28"/>
      <c r="D78" s="28"/>
      <c r="E78" s="28"/>
      <c r="F78" s="28"/>
      <c r="G78" s="28"/>
      <c r="H78" s="28"/>
      <c r="I78" s="28"/>
    </row>
    <row r="80" customFormat="false" ht="12.75" hidden="false" customHeight="false" outlineLevel="0" collapsed="false">
      <c r="A80" s="28"/>
      <c r="B80" s="28"/>
    </row>
    <row r="81" customFormat="false" ht="12.75" hidden="false" customHeight="false" outlineLevel="0" collapsed="false">
      <c r="A81" s="28"/>
    </row>
    <row r="82" customFormat="false" ht="12.75" hidden="false" customHeight="false" outlineLevel="0" collapsed="false">
      <c r="A82" s="28"/>
      <c r="B82" s="31"/>
    </row>
    <row r="84" customFormat="false" ht="12.75" hidden="false" customHeight="false" outlineLevel="0" collapsed="false">
      <c r="A84" s="32"/>
      <c r="B84" s="32"/>
      <c r="C84" s="32"/>
      <c r="D84" s="32"/>
      <c r="E84" s="32"/>
      <c r="F84" s="32"/>
      <c r="G84" s="32"/>
      <c r="H84" s="32"/>
      <c r="I84" s="32"/>
    </row>
    <row r="85" customFormat="false" ht="12.75" hidden="false" customHeight="false" outlineLevel="0" collapsed="false">
      <c r="A85" s="28"/>
      <c r="B85" s="36"/>
      <c r="C85" s="36"/>
      <c r="D85" s="36"/>
      <c r="E85" s="36"/>
      <c r="F85" s="36"/>
      <c r="G85" s="36"/>
      <c r="H85" s="36"/>
      <c r="I85" s="36"/>
    </row>
    <row r="86" customFormat="false" ht="12.75" hidden="false" customHeight="false" outlineLevel="0" collapsed="false">
      <c r="A86" s="28"/>
      <c r="B86" s="36"/>
      <c r="C86" s="36"/>
      <c r="D86" s="36"/>
      <c r="E86" s="36"/>
      <c r="F86" s="36"/>
      <c r="G86" s="36"/>
      <c r="H86" s="36"/>
      <c r="I86" s="36"/>
    </row>
    <row r="87" customFormat="false" ht="12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28"/>
      <c r="C92" s="28"/>
      <c r="D92" s="28"/>
      <c r="E92" s="28"/>
      <c r="F92" s="28"/>
      <c r="G92" s="28"/>
      <c r="H92" s="28"/>
      <c r="I92" s="28"/>
    </row>
    <row r="93" customFormat="false" ht="12.75" hidden="false" customHeight="false" outlineLevel="0" collapsed="false">
      <c r="A93" s="28"/>
      <c r="B93" s="36"/>
    </row>
    <row r="94" customFormat="false" ht="12.75" hidden="false" customHeight="false" outlineLevel="0" collapsed="false">
      <c r="A94" s="28"/>
      <c r="B94" s="28"/>
    </row>
    <row r="95" customFormat="false" ht="12.75" hidden="false" customHeight="false" outlineLevel="0" collapsed="false">
      <c r="A95" s="28"/>
      <c r="B95" s="36"/>
    </row>
    <row r="97" customFormat="false" ht="12.75" hidden="false" customHeight="false" outlineLevel="0" collapsed="false">
      <c r="A97" s="29"/>
      <c r="B97" s="29"/>
      <c r="C97" s="29"/>
      <c r="D97" s="29"/>
      <c r="E97" s="29"/>
      <c r="F97" s="29"/>
      <c r="G97" s="29"/>
      <c r="H97" s="29"/>
      <c r="I97" s="29"/>
    </row>
    <row r="98" customFormat="false" ht="12.75" hidden="false" customHeight="false" outlineLevel="0" collapsed="false">
      <c r="A98" s="28"/>
      <c r="B98" s="31"/>
      <c r="C98" s="31"/>
      <c r="D98" s="31"/>
      <c r="E98" s="31"/>
      <c r="F98" s="31"/>
      <c r="G98" s="31"/>
      <c r="H98" s="31"/>
      <c r="I98" s="31"/>
    </row>
    <row r="99" customFormat="false" ht="12.75" hidden="false" customHeight="false" outlineLevel="0" collapsed="false">
      <c r="A99" s="31"/>
      <c r="B99" s="31"/>
      <c r="C99" s="31"/>
      <c r="D99" s="31"/>
      <c r="E99" s="31"/>
      <c r="F99" s="31"/>
      <c r="G99" s="31"/>
      <c r="H99" s="31"/>
      <c r="I99" s="31"/>
    </row>
  </sheetData>
  <mergeCells count="6">
    <mergeCell ref="B32:I32"/>
    <mergeCell ref="A67:I67"/>
    <mergeCell ref="A72:I72"/>
    <mergeCell ref="A76:I76"/>
    <mergeCell ref="A84:I84"/>
    <mergeCell ref="A97:I97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5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2" min="12" style="1" width="8.29"/>
    <col collapsed="false" customWidth="true" hidden="false" outlineLevel="0" max="16" min="16" style="1" width="14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45658</v>
      </c>
      <c r="B2" s="13" t="n">
        <v>1000.0619996</v>
      </c>
      <c r="C2" s="13" t="n">
        <v>159.01199991</v>
      </c>
      <c r="D2" s="13" t="n">
        <v>41</v>
      </c>
      <c r="E2" s="13" t="n">
        <v>6</v>
      </c>
      <c r="F2" s="13" t="n">
        <v>92</v>
      </c>
      <c r="G2" s="13" t="n">
        <v>14</v>
      </c>
      <c r="H2" s="13" t="n">
        <v>140</v>
      </c>
      <c r="I2" s="13" t="n">
        <v>21</v>
      </c>
      <c r="J2" s="13" t="n">
        <v>37</v>
      </c>
      <c r="K2" s="13" t="n">
        <v>6</v>
      </c>
      <c r="L2" s="13" t="n">
        <v>28</v>
      </c>
      <c r="M2" s="13" t="n">
        <v>4</v>
      </c>
      <c r="N2" s="13" t="n">
        <v>252.91999999</v>
      </c>
      <c r="O2" s="13" t="n">
        <v>46.36</v>
      </c>
      <c r="P2" s="12" t="n">
        <f aca="false">AC3-AC2</f>
        <v>0</v>
      </c>
      <c r="Q2" s="12" t="n">
        <v>0</v>
      </c>
      <c r="R2" s="12" t="n">
        <v>0</v>
      </c>
      <c r="S2" s="12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45659</v>
      </c>
      <c r="B3" s="13" t="n">
        <v>1169.7419995</v>
      </c>
      <c r="C3" s="13" t="n">
        <v>181.73399991</v>
      </c>
      <c r="D3" s="13" t="n">
        <v>41</v>
      </c>
      <c r="E3" s="13" t="n">
        <v>6</v>
      </c>
      <c r="F3" s="13" t="n">
        <v>92</v>
      </c>
      <c r="G3" s="13" t="n">
        <v>14</v>
      </c>
      <c r="H3" s="13" t="n">
        <v>140</v>
      </c>
      <c r="I3" s="13" t="n">
        <v>21</v>
      </c>
      <c r="J3" s="13" t="n">
        <v>37</v>
      </c>
      <c r="K3" s="13" t="n">
        <v>6</v>
      </c>
      <c r="L3" s="13" t="n">
        <v>28</v>
      </c>
      <c r="M3" s="13" t="n">
        <v>4</v>
      </c>
      <c r="N3" s="13" t="n">
        <v>284.27999994</v>
      </c>
      <c r="O3" s="13" t="n">
        <v>52.03999999</v>
      </c>
      <c r="P3" s="12" t="n">
        <f aca="false">AC4-AC3</f>
        <v>0</v>
      </c>
      <c r="Q3" s="12" t="n">
        <v>0</v>
      </c>
      <c r="R3" s="12" t="n">
        <v>0</v>
      </c>
      <c r="S3" s="12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2" t="n">
        <f aca="false">A3+1</f>
        <v>45660</v>
      </c>
      <c r="B4" s="13" t="n">
        <v>1197.83999941</v>
      </c>
      <c r="C4" s="13" t="n">
        <v>157.20599994</v>
      </c>
      <c r="D4" s="13" t="n">
        <v>41</v>
      </c>
      <c r="E4" s="13" t="n">
        <v>6</v>
      </c>
      <c r="F4" s="13" t="n">
        <v>92</v>
      </c>
      <c r="G4" s="13" t="n">
        <v>14</v>
      </c>
      <c r="H4" s="13" t="n">
        <v>140</v>
      </c>
      <c r="I4" s="13" t="n">
        <v>21</v>
      </c>
      <c r="J4" s="13" t="n">
        <v>37</v>
      </c>
      <c r="K4" s="13" t="n">
        <v>6</v>
      </c>
      <c r="L4" s="13" t="n">
        <v>28</v>
      </c>
      <c r="M4" s="13" t="n">
        <v>4</v>
      </c>
      <c r="N4" s="13" t="n">
        <v>311.79999991</v>
      </c>
      <c r="O4" s="13" t="n">
        <v>54.99999998</v>
      </c>
      <c r="P4" s="12" t="n">
        <f aca="false">AC5-AC4</f>
        <v>0</v>
      </c>
      <c r="Q4" s="12" t="n">
        <v>0</v>
      </c>
      <c r="R4" s="12" t="n">
        <v>0</v>
      </c>
      <c r="S4" s="12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2" t="n">
        <f aca="false">A4+1</f>
        <v>45661</v>
      </c>
      <c r="B5" s="13" t="n">
        <v>1016.52599942</v>
      </c>
      <c r="C5" s="13" t="n">
        <v>163.00199991</v>
      </c>
      <c r="D5" s="13" t="n">
        <v>41</v>
      </c>
      <c r="E5" s="13" t="n">
        <v>6</v>
      </c>
      <c r="F5" s="13" t="n">
        <v>92</v>
      </c>
      <c r="G5" s="13" t="n">
        <v>14</v>
      </c>
      <c r="H5" s="13" t="n">
        <v>140</v>
      </c>
      <c r="I5" s="13" t="n">
        <v>21</v>
      </c>
      <c r="J5" s="13" t="n">
        <v>37</v>
      </c>
      <c r="K5" s="13" t="n">
        <v>6</v>
      </c>
      <c r="L5" s="13" t="n">
        <v>28</v>
      </c>
      <c r="M5" s="13" t="n">
        <v>4</v>
      </c>
      <c r="N5" s="13" t="n">
        <v>294.23999993</v>
      </c>
      <c r="O5" s="13" t="n">
        <v>45.19999999</v>
      </c>
      <c r="P5" s="12" t="n">
        <f aca="false">AC6-AC5</f>
        <v>0</v>
      </c>
      <c r="Q5" s="12" t="n">
        <v>0</v>
      </c>
      <c r="R5" s="12" t="n">
        <v>0</v>
      </c>
      <c r="S5" s="12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2" t="n">
        <f aca="false">A5+1</f>
        <v>45662</v>
      </c>
      <c r="B6" s="13" t="n">
        <v>1030.30199948</v>
      </c>
      <c r="C6" s="13" t="n">
        <v>159.43199988</v>
      </c>
      <c r="D6" s="13" t="n">
        <v>41</v>
      </c>
      <c r="E6" s="13" t="n">
        <v>6</v>
      </c>
      <c r="F6" s="13" t="n">
        <v>92</v>
      </c>
      <c r="G6" s="13" t="n">
        <v>14</v>
      </c>
      <c r="H6" s="13" t="n">
        <v>140</v>
      </c>
      <c r="I6" s="13" t="n">
        <v>21</v>
      </c>
      <c r="J6" s="13" t="n">
        <v>37</v>
      </c>
      <c r="K6" s="13" t="n">
        <v>6</v>
      </c>
      <c r="L6" s="13" t="n">
        <v>28</v>
      </c>
      <c r="M6" s="13" t="n">
        <v>4</v>
      </c>
      <c r="N6" s="13" t="n">
        <v>287.11999995</v>
      </c>
      <c r="O6" s="13" t="n">
        <v>59.43999999</v>
      </c>
      <c r="P6" s="12" t="n">
        <f aca="false">AC7-AC6</f>
        <v>0</v>
      </c>
      <c r="Q6" s="12" t="n">
        <v>0</v>
      </c>
      <c r="R6" s="12" t="n">
        <v>0</v>
      </c>
      <c r="S6" s="12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2" t="n">
        <f aca="false">A6+1</f>
        <v>45663</v>
      </c>
      <c r="B7" s="13" t="n">
        <v>1266.63599947</v>
      </c>
      <c r="C7" s="13" t="n">
        <v>171.98999992</v>
      </c>
      <c r="D7" s="13" t="n">
        <v>41</v>
      </c>
      <c r="E7" s="13" t="n">
        <v>6</v>
      </c>
      <c r="F7" s="13" t="n">
        <v>92</v>
      </c>
      <c r="G7" s="13" t="n">
        <v>14</v>
      </c>
      <c r="H7" s="13" t="n">
        <v>140</v>
      </c>
      <c r="I7" s="13" t="n">
        <v>21</v>
      </c>
      <c r="J7" s="13" t="n">
        <v>37</v>
      </c>
      <c r="K7" s="13" t="n">
        <v>6</v>
      </c>
      <c r="L7" s="13" t="n">
        <v>28</v>
      </c>
      <c r="M7" s="13" t="n">
        <v>4</v>
      </c>
      <c r="N7" s="13" t="n">
        <v>297.99999994</v>
      </c>
      <c r="O7" s="13" t="n">
        <v>60.32</v>
      </c>
      <c r="P7" s="12" t="n">
        <f aca="false">AC8-AC7</f>
        <v>0</v>
      </c>
      <c r="Q7" s="12" t="n">
        <v>0</v>
      </c>
      <c r="R7" s="12" t="n">
        <v>0</v>
      </c>
      <c r="S7" s="12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2" t="n">
        <f aca="false">A7+1</f>
        <v>45664</v>
      </c>
      <c r="B8" s="13" t="n">
        <v>1267.34999953</v>
      </c>
      <c r="C8" s="13" t="n">
        <v>173.58599993</v>
      </c>
      <c r="D8" s="13" t="n">
        <v>41</v>
      </c>
      <c r="E8" s="13" t="n">
        <v>6</v>
      </c>
      <c r="F8" s="13" t="n">
        <v>92</v>
      </c>
      <c r="G8" s="13" t="n">
        <v>14</v>
      </c>
      <c r="H8" s="13" t="n">
        <v>140</v>
      </c>
      <c r="I8" s="13" t="n">
        <v>21</v>
      </c>
      <c r="J8" s="13" t="n">
        <v>37</v>
      </c>
      <c r="K8" s="13" t="n">
        <v>6</v>
      </c>
      <c r="L8" s="13" t="n">
        <v>28</v>
      </c>
      <c r="M8" s="13" t="n">
        <v>4</v>
      </c>
      <c r="N8" s="13" t="n">
        <v>316.0399999</v>
      </c>
      <c r="O8" s="13" t="n">
        <v>62.71999999</v>
      </c>
      <c r="P8" s="12" t="n">
        <f aca="false">AC9-AC8</f>
        <v>0</v>
      </c>
      <c r="Q8" s="12" t="n">
        <v>0</v>
      </c>
      <c r="R8" s="12" t="n">
        <v>0</v>
      </c>
      <c r="S8" s="12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2" t="n">
        <f aca="false">A8+1</f>
        <v>45665</v>
      </c>
      <c r="B9" s="13" t="n">
        <v>1228.20599955</v>
      </c>
      <c r="C9" s="13" t="n">
        <v>168.33599993</v>
      </c>
      <c r="D9" s="13" t="n">
        <v>41</v>
      </c>
      <c r="E9" s="13" t="n">
        <v>6</v>
      </c>
      <c r="F9" s="13" t="n">
        <v>92</v>
      </c>
      <c r="G9" s="13" t="n">
        <v>14</v>
      </c>
      <c r="H9" s="13" t="n">
        <v>140</v>
      </c>
      <c r="I9" s="13" t="n">
        <v>21</v>
      </c>
      <c r="J9" s="13" t="n">
        <v>37</v>
      </c>
      <c r="K9" s="13" t="n">
        <v>6</v>
      </c>
      <c r="L9" s="13" t="n">
        <v>28</v>
      </c>
      <c r="M9" s="13" t="n">
        <v>4</v>
      </c>
      <c r="N9" s="13" t="n">
        <v>356.83999993</v>
      </c>
      <c r="O9" s="13" t="n">
        <v>60.43999998</v>
      </c>
      <c r="P9" s="12" t="n">
        <f aca="false">AC10-AC9</f>
        <v>0</v>
      </c>
      <c r="Q9" s="12" t="n">
        <v>0</v>
      </c>
      <c r="R9" s="12" t="n">
        <v>0</v>
      </c>
      <c r="S9" s="12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2" t="n">
        <f aca="false">A9+1</f>
        <v>45666</v>
      </c>
      <c r="B10" s="13" t="n">
        <v>1241.72999943</v>
      </c>
      <c r="C10" s="13" t="n">
        <v>178.07999996</v>
      </c>
      <c r="D10" s="13" t="n">
        <v>41</v>
      </c>
      <c r="E10" s="13" t="n">
        <v>6</v>
      </c>
      <c r="F10" s="13" t="n">
        <v>92</v>
      </c>
      <c r="G10" s="13" t="n">
        <v>14</v>
      </c>
      <c r="H10" s="13" t="n">
        <v>140</v>
      </c>
      <c r="I10" s="13" t="n">
        <v>21</v>
      </c>
      <c r="J10" s="13" t="n">
        <v>37</v>
      </c>
      <c r="K10" s="13" t="n">
        <v>6</v>
      </c>
      <c r="L10" s="13" t="n">
        <v>28</v>
      </c>
      <c r="M10" s="13" t="n">
        <v>4</v>
      </c>
      <c r="N10" s="13" t="n">
        <v>341.07999994</v>
      </c>
      <c r="O10" s="13" t="n">
        <v>60.27999999</v>
      </c>
      <c r="P10" s="12" t="n">
        <f aca="false">AC11-AC10</f>
        <v>0</v>
      </c>
      <c r="Q10" s="12" t="n">
        <v>0</v>
      </c>
      <c r="R10" s="12" t="n">
        <v>0</v>
      </c>
      <c r="S10" s="12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2" t="n">
        <f aca="false">A10+1</f>
        <v>45667</v>
      </c>
      <c r="B11" s="13" t="n">
        <v>1258.27799945</v>
      </c>
      <c r="C11" s="13" t="n">
        <v>188.7899999</v>
      </c>
      <c r="D11" s="13" t="n">
        <v>41</v>
      </c>
      <c r="E11" s="13" t="n">
        <v>6</v>
      </c>
      <c r="F11" s="13" t="n">
        <v>92</v>
      </c>
      <c r="G11" s="13" t="n">
        <v>14</v>
      </c>
      <c r="H11" s="13" t="n">
        <v>140</v>
      </c>
      <c r="I11" s="13" t="n">
        <v>21</v>
      </c>
      <c r="J11" s="13" t="n">
        <v>37</v>
      </c>
      <c r="K11" s="13" t="n">
        <v>6</v>
      </c>
      <c r="L11" s="13" t="n">
        <v>28</v>
      </c>
      <c r="M11" s="13" t="n">
        <v>4</v>
      </c>
      <c r="N11" s="13" t="n">
        <v>352.63999996</v>
      </c>
      <c r="O11" s="13" t="n">
        <v>71.32</v>
      </c>
      <c r="P11" s="12" t="n">
        <f aca="false">AC12-AC11</f>
        <v>0</v>
      </c>
      <c r="Q11" s="12" t="n">
        <v>0</v>
      </c>
      <c r="R11" s="12" t="n">
        <v>0</v>
      </c>
      <c r="S11" s="12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2" t="n">
        <f aca="false">A11+1</f>
        <v>45668</v>
      </c>
      <c r="B12" s="13" t="n">
        <v>1075.66199947</v>
      </c>
      <c r="C12" s="13" t="n">
        <v>180.05399991</v>
      </c>
      <c r="D12" s="13" t="n">
        <v>41</v>
      </c>
      <c r="E12" s="13" t="n">
        <v>6</v>
      </c>
      <c r="F12" s="13" t="n">
        <v>92</v>
      </c>
      <c r="G12" s="13" t="n">
        <v>14</v>
      </c>
      <c r="H12" s="13" t="n">
        <v>140</v>
      </c>
      <c r="I12" s="13" t="n">
        <v>21</v>
      </c>
      <c r="J12" s="13" t="n">
        <v>37</v>
      </c>
      <c r="K12" s="13" t="n">
        <v>6</v>
      </c>
      <c r="L12" s="13" t="n">
        <v>28</v>
      </c>
      <c r="M12" s="13" t="n">
        <v>4</v>
      </c>
      <c r="N12" s="13" t="n">
        <v>359.83999992</v>
      </c>
      <c r="O12" s="13" t="n">
        <v>68.84</v>
      </c>
      <c r="P12" s="12" t="n">
        <f aca="false">AC13-AC12</f>
        <v>0</v>
      </c>
      <c r="Q12" s="12" t="n">
        <v>0</v>
      </c>
      <c r="R12" s="12" t="n">
        <v>0</v>
      </c>
      <c r="S12" s="12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2" t="n">
        <f aca="false">A12+1</f>
        <v>45669</v>
      </c>
      <c r="B13" s="13" t="n">
        <v>849.44999956</v>
      </c>
      <c r="C13" s="13" t="n">
        <v>150.65399993</v>
      </c>
      <c r="D13" s="13" t="n">
        <v>41</v>
      </c>
      <c r="E13" s="13" t="n">
        <v>6</v>
      </c>
      <c r="F13" s="13" t="n">
        <v>92</v>
      </c>
      <c r="G13" s="13" t="n">
        <v>14</v>
      </c>
      <c r="H13" s="13" t="n">
        <v>140</v>
      </c>
      <c r="I13" s="13" t="n">
        <v>21</v>
      </c>
      <c r="J13" s="13" t="n">
        <v>37</v>
      </c>
      <c r="K13" s="13" t="n">
        <v>6</v>
      </c>
      <c r="L13" s="13" t="n">
        <v>28</v>
      </c>
      <c r="M13" s="13" t="n">
        <v>4</v>
      </c>
      <c r="N13" s="13" t="n">
        <v>379.59999992</v>
      </c>
      <c r="O13" s="13" t="n">
        <v>69.67999998</v>
      </c>
      <c r="P13" s="12" t="n">
        <f aca="false">AC14-AC13</f>
        <v>0</v>
      </c>
      <c r="Q13" s="12" t="n">
        <v>0</v>
      </c>
      <c r="R13" s="12" t="n">
        <v>0</v>
      </c>
      <c r="S13" s="12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2" t="n">
        <f aca="false">A13+1</f>
        <v>45670</v>
      </c>
      <c r="B14" s="13" t="n">
        <v>1289.02199951</v>
      </c>
      <c r="C14" s="13" t="n">
        <v>176.5679999</v>
      </c>
      <c r="D14" s="13" t="n">
        <v>41</v>
      </c>
      <c r="E14" s="13" t="n">
        <v>6</v>
      </c>
      <c r="F14" s="13" t="n">
        <v>92</v>
      </c>
      <c r="G14" s="13" t="n">
        <v>14</v>
      </c>
      <c r="H14" s="13" t="n">
        <v>140</v>
      </c>
      <c r="I14" s="13" t="n">
        <v>21</v>
      </c>
      <c r="J14" s="13" t="n">
        <v>37</v>
      </c>
      <c r="K14" s="13" t="n">
        <v>6</v>
      </c>
      <c r="L14" s="13" t="n">
        <v>28</v>
      </c>
      <c r="M14" s="13" t="n">
        <v>4</v>
      </c>
      <c r="N14" s="13" t="n">
        <v>329.83999991</v>
      </c>
      <c r="O14" s="13" t="n">
        <v>58.03999999</v>
      </c>
      <c r="P14" s="12" t="n">
        <f aca="false">AC15-AC14</f>
        <v>0</v>
      </c>
      <c r="Q14" s="12" t="n">
        <v>0</v>
      </c>
      <c r="R14" s="12" t="n">
        <v>0</v>
      </c>
      <c r="S14" s="12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2" t="n">
        <f aca="false">A14+1</f>
        <v>45671</v>
      </c>
      <c r="B15" s="13" t="n">
        <v>1231.90199952</v>
      </c>
      <c r="C15" s="13" t="n">
        <v>165.05999991</v>
      </c>
      <c r="D15" s="13" t="n">
        <v>41</v>
      </c>
      <c r="E15" s="13" t="n">
        <v>6</v>
      </c>
      <c r="F15" s="13" t="n">
        <v>92</v>
      </c>
      <c r="G15" s="13" t="n">
        <v>14</v>
      </c>
      <c r="H15" s="13" t="n">
        <v>140</v>
      </c>
      <c r="I15" s="13" t="n">
        <v>21</v>
      </c>
      <c r="J15" s="13" t="n">
        <v>37</v>
      </c>
      <c r="K15" s="13" t="n">
        <v>6</v>
      </c>
      <c r="L15" s="13" t="n">
        <v>28</v>
      </c>
      <c r="M15" s="13" t="n">
        <v>4</v>
      </c>
      <c r="N15" s="13" t="n">
        <v>289.95999995</v>
      </c>
      <c r="O15" s="13" t="n">
        <v>47.39999997</v>
      </c>
      <c r="P15" s="12" t="n">
        <f aca="false">AC16-AC15</f>
        <v>0</v>
      </c>
      <c r="Q15" s="12" t="n">
        <v>0</v>
      </c>
      <c r="R15" s="12" t="n">
        <v>0</v>
      </c>
      <c r="S15" s="12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2" t="n">
        <f aca="false">A15+1</f>
        <v>45672</v>
      </c>
      <c r="B16" s="13" t="n">
        <v>1227.82799958</v>
      </c>
      <c r="C16" s="13" t="n">
        <v>190.97399992</v>
      </c>
      <c r="D16" s="13" t="n">
        <v>41</v>
      </c>
      <c r="E16" s="13" t="n">
        <v>6</v>
      </c>
      <c r="F16" s="13" t="n">
        <v>92</v>
      </c>
      <c r="G16" s="13" t="n">
        <v>14</v>
      </c>
      <c r="H16" s="13" t="n">
        <v>140</v>
      </c>
      <c r="I16" s="13" t="n">
        <v>21</v>
      </c>
      <c r="J16" s="13" t="n">
        <v>37</v>
      </c>
      <c r="K16" s="13" t="n">
        <v>6</v>
      </c>
      <c r="L16" s="13" t="n">
        <v>28</v>
      </c>
      <c r="M16" s="13" t="n">
        <v>4</v>
      </c>
      <c r="N16" s="13" t="n">
        <v>306.19999992</v>
      </c>
      <c r="O16" s="13" t="n">
        <v>59.71999999</v>
      </c>
      <c r="P16" s="12" t="n">
        <f aca="false">AC17-AC16</f>
        <v>0</v>
      </c>
      <c r="Q16" s="12" t="n">
        <v>0</v>
      </c>
      <c r="R16" s="12" t="n">
        <v>0</v>
      </c>
      <c r="S16" s="12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2" t="n">
        <f aca="false">A16+1</f>
        <v>45673</v>
      </c>
      <c r="B17" s="13" t="n">
        <v>1180.15799953</v>
      </c>
      <c r="C17" s="13" t="n">
        <v>159.5579999</v>
      </c>
      <c r="D17" s="13" t="n">
        <v>41</v>
      </c>
      <c r="E17" s="13" t="n">
        <v>6</v>
      </c>
      <c r="F17" s="13" t="n">
        <v>92</v>
      </c>
      <c r="G17" s="13" t="n">
        <v>14</v>
      </c>
      <c r="H17" s="13" t="n">
        <v>140</v>
      </c>
      <c r="I17" s="13" t="n">
        <v>21</v>
      </c>
      <c r="J17" s="13" t="n">
        <v>37</v>
      </c>
      <c r="K17" s="13" t="n">
        <v>6</v>
      </c>
      <c r="L17" s="13" t="n">
        <v>28</v>
      </c>
      <c r="M17" s="13" t="n">
        <v>4</v>
      </c>
      <c r="N17" s="13" t="n">
        <v>254.83999995</v>
      </c>
      <c r="O17" s="13" t="n">
        <v>45.08</v>
      </c>
      <c r="P17" s="12" t="n">
        <f aca="false">AC18-AC17</f>
        <v>0</v>
      </c>
      <c r="Q17" s="12" t="n">
        <v>0</v>
      </c>
      <c r="R17" s="12" t="n">
        <v>0</v>
      </c>
      <c r="S17" s="12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2" t="n">
        <f aca="false">A17+1</f>
        <v>45674</v>
      </c>
      <c r="B18" s="13" t="n">
        <v>1175.45399956</v>
      </c>
      <c r="C18" s="13" t="n">
        <v>171.48599994</v>
      </c>
      <c r="D18" s="13" t="n">
        <v>41</v>
      </c>
      <c r="E18" s="13" t="n">
        <v>6</v>
      </c>
      <c r="F18" s="13" t="n">
        <v>92</v>
      </c>
      <c r="G18" s="13" t="n">
        <v>14</v>
      </c>
      <c r="H18" s="13" t="n">
        <v>140</v>
      </c>
      <c r="I18" s="13" t="n">
        <v>21</v>
      </c>
      <c r="J18" s="13" t="n">
        <v>37</v>
      </c>
      <c r="K18" s="13" t="n">
        <v>6</v>
      </c>
      <c r="L18" s="13" t="n">
        <v>28</v>
      </c>
      <c r="M18" s="13" t="n">
        <v>4</v>
      </c>
      <c r="N18" s="13" t="n">
        <v>318.79999996</v>
      </c>
      <c r="O18" s="13" t="n">
        <v>54.47999999</v>
      </c>
      <c r="P18" s="12" t="n">
        <f aca="false">AC19-AC18</f>
        <v>0</v>
      </c>
      <c r="Q18" s="12" t="n">
        <v>0</v>
      </c>
      <c r="R18" s="12" t="n">
        <v>0</v>
      </c>
      <c r="S18" s="12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2" t="n">
        <f aca="false">A18+1</f>
        <v>45675</v>
      </c>
      <c r="B19" s="13" t="n">
        <v>1066.42199955</v>
      </c>
      <c r="C19" s="13" t="n">
        <v>188.07599993</v>
      </c>
      <c r="D19" s="13" t="n">
        <v>41</v>
      </c>
      <c r="E19" s="13" t="n">
        <v>6</v>
      </c>
      <c r="F19" s="13" t="n">
        <v>92</v>
      </c>
      <c r="G19" s="13" t="n">
        <v>14</v>
      </c>
      <c r="H19" s="13" t="n">
        <v>140</v>
      </c>
      <c r="I19" s="13" t="n">
        <v>21</v>
      </c>
      <c r="J19" s="13" t="n">
        <v>37</v>
      </c>
      <c r="K19" s="13" t="n">
        <v>6</v>
      </c>
      <c r="L19" s="13" t="n">
        <v>28</v>
      </c>
      <c r="M19" s="13" t="n">
        <v>4</v>
      </c>
      <c r="N19" s="13" t="n">
        <v>350.31999993</v>
      </c>
      <c r="O19" s="13" t="n">
        <v>60.59999998</v>
      </c>
      <c r="P19" s="12" t="n">
        <f aca="false">AC20-AC19</f>
        <v>0</v>
      </c>
      <c r="Q19" s="12" t="n">
        <v>0</v>
      </c>
      <c r="R19" s="12" t="n">
        <v>0</v>
      </c>
      <c r="S19" s="12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2" t="n">
        <f aca="false">A19+1</f>
        <v>45676</v>
      </c>
      <c r="B20" s="13" t="n">
        <v>996.40799957</v>
      </c>
      <c r="C20" s="13" t="n">
        <v>151.49399995</v>
      </c>
      <c r="D20" s="13" t="n">
        <v>41</v>
      </c>
      <c r="E20" s="13" t="n">
        <v>6</v>
      </c>
      <c r="F20" s="13" t="n">
        <v>92</v>
      </c>
      <c r="G20" s="13" t="n">
        <v>14</v>
      </c>
      <c r="H20" s="13" t="n">
        <v>140</v>
      </c>
      <c r="I20" s="13" t="n">
        <v>21</v>
      </c>
      <c r="J20" s="13" t="n">
        <v>37</v>
      </c>
      <c r="K20" s="13" t="n">
        <v>6</v>
      </c>
      <c r="L20" s="13" t="n">
        <v>28</v>
      </c>
      <c r="M20" s="13" t="n">
        <v>4</v>
      </c>
      <c r="N20" s="13" t="n">
        <v>327.67999996</v>
      </c>
      <c r="O20" s="13" t="n">
        <v>52.07999999</v>
      </c>
      <c r="P20" s="12" t="n">
        <f aca="false">AC21-AC20</f>
        <v>0</v>
      </c>
      <c r="Q20" s="12" t="n">
        <v>0</v>
      </c>
      <c r="R20" s="12" t="n">
        <v>0</v>
      </c>
      <c r="S20" s="12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2" t="n">
        <f aca="false">A20+1</f>
        <v>45677</v>
      </c>
      <c r="B21" s="13" t="n">
        <v>1760.34599948</v>
      </c>
      <c r="C21" s="13" t="n">
        <v>241.20599994</v>
      </c>
      <c r="D21" s="13" t="n">
        <v>41</v>
      </c>
      <c r="E21" s="13" t="n">
        <v>6</v>
      </c>
      <c r="F21" s="13" t="n">
        <v>92</v>
      </c>
      <c r="G21" s="13" t="n">
        <v>14</v>
      </c>
      <c r="H21" s="13" t="n">
        <v>140</v>
      </c>
      <c r="I21" s="13" t="n">
        <v>21</v>
      </c>
      <c r="J21" s="13" t="n">
        <v>37</v>
      </c>
      <c r="K21" s="13" t="n">
        <v>6</v>
      </c>
      <c r="L21" s="13" t="n">
        <v>28</v>
      </c>
      <c r="M21" s="13" t="n">
        <v>4</v>
      </c>
      <c r="N21" s="13" t="n">
        <v>320.27999995</v>
      </c>
      <c r="O21" s="13" t="n">
        <v>80.32</v>
      </c>
      <c r="P21" s="12" t="n">
        <f aca="false">AC22-AC21</f>
        <v>0</v>
      </c>
      <c r="Q21" s="12" t="n">
        <v>0</v>
      </c>
      <c r="R21" s="12" t="n">
        <v>0</v>
      </c>
      <c r="S21" s="12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2" t="n">
        <f aca="false">A21+1</f>
        <v>45678</v>
      </c>
      <c r="B22" s="13" t="n">
        <v>2021.62799945</v>
      </c>
      <c r="C22" s="13" t="n">
        <v>245.19599992</v>
      </c>
      <c r="D22" s="13" t="n">
        <v>41</v>
      </c>
      <c r="E22" s="13" t="n">
        <v>6</v>
      </c>
      <c r="F22" s="13" t="n">
        <v>92</v>
      </c>
      <c r="G22" s="13" t="n">
        <v>14</v>
      </c>
      <c r="H22" s="13" t="n">
        <v>140</v>
      </c>
      <c r="I22" s="13" t="n">
        <v>21</v>
      </c>
      <c r="J22" s="13" t="n">
        <v>37</v>
      </c>
      <c r="K22" s="13" t="n">
        <v>6</v>
      </c>
      <c r="L22" s="13" t="n">
        <v>28</v>
      </c>
      <c r="M22" s="13" t="n">
        <v>4</v>
      </c>
      <c r="N22" s="13" t="n">
        <v>414.95999994</v>
      </c>
      <c r="O22" s="13" t="n">
        <v>72.27999999</v>
      </c>
      <c r="P22" s="12" t="n">
        <f aca="false">AC23-AC22</f>
        <v>0</v>
      </c>
      <c r="Q22" s="12" t="n">
        <v>0</v>
      </c>
      <c r="R22" s="12" t="n">
        <v>0</v>
      </c>
      <c r="S22" s="12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2" t="n">
        <f aca="false">A22+1</f>
        <v>45679</v>
      </c>
      <c r="B23" s="13" t="n">
        <v>2011.42199956</v>
      </c>
      <c r="C23" s="13" t="n">
        <v>214.2839999</v>
      </c>
      <c r="D23" s="13" t="n">
        <v>41</v>
      </c>
      <c r="E23" s="13" t="n">
        <v>6</v>
      </c>
      <c r="F23" s="13" t="n">
        <v>92</v>
      </c>
      <c r="G23" s="13" t="n">
        <v>14</v>
      </c>
      <c r="H23" s="13" t="n">
        <v>140</v>
      </c>
      <c r="I23" s="13" t="n">
        <v>21</v>
      </c>
      <c r="J23" s="13" t="n">
        <v>37</v>
      </c>
      <c r="K23" s="13" t="n">
        <v>6</v>
      </c>
      <c r="L23" s="13" t="n">
        <v>28</v>
      </c>
      <c r="M23" s="13" t="n">
        <v>4</v>
      </c>
      <c r="N23" s="13" t="n">
        <v>406.1199999</v>
      </c>
      <c r="O23" s="13" t="n">
        <v>78.44</v>
      </c>
      <c r="P23" s="12" t="n">
        <f aca="false">AC24-AC23</f>
        <v>0</v>
      </c>
      <c r="Q23" s="12" t="n">
        <v>0</v>
      </c>
      <c r="R23" s="12" t="n">
        <v>0</v>
      </c>
      <c r="S23" s="12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2" t="n">
        <f aca="false">A23+1</f>
        <v>45680</v>
      </c>
      <c r="B24" s="13" t="n">
        <v>2116.12799949</v>
      </c>
      <c r="C24" s="13" t="n">
        <v>272.3279999</v>
      </c>
      <c r="D24" s="13" t="n">
        <v>41</v>
      </c>
      <c r="E24" s="13" t="n">
        <v>6</v>
      </c>
      <c r="F24" s="13" t="n">
        <v>92</v>
      </c>
      <c r="G24" s="13" t="n">
        <v>14</v>
      </c>
      <c r="H24" s="13" t="n">
        <v>140</v>
      </c>
      <c r="I24" s="13" t="n">
        <v>21</v>
      </c>
      <c r="J24" s="13" t="n">
        <v>37</v>
      </c>
      <c r="K24" s="13" t="n">
        <v>6</v>
      </c>
      <c r="L24" s="13" t="n">
        <v>28</v>
      </c>
      <c r="M24" s="13" t="n">
        <v>4</v>
      </c>
      <c r="N24" s="13" t="n">
        <v>394.71999998</v>
      </c>
      <c r="O24" s="13" t="n">
        <v>71.03999999</v>
      </c>
      <c r="P24" s="12" t="n">
        <f aca="false">AC25-AC24</f>
        <v>0</v>
      </c>
      <c r="Q24" s="12" t="n">
        <v>0</v>
      </c>
      <c r="R24" s="12" t="n">
        <v>0</v>
      </c>
      <c r="S24" s="12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2" t="n">
        <f aca="false">A24+1</f>
        <v>45681</v>
      </c>
      <c r="B25" s="13" t="n">
        <v>1630.31399943</v>
      </c>
      <c r="C25" s="13" t="n">
        <v>266.61599995</v>
      </c>
      <c r="D25" s="13" t="n">
        <v>41</v>
      </c>
      <c r="E25" s="13" t="n">
        <v>6</v>
      </c>
      <c r="F25" s="13" t="n">
        <v>92</v>
      </c>
      <c r="G25" s="13" t="n">
        <v>14</v>
      </c>
      <c r="H25" s="13" t="n">
        <v>140</v>
      </c>
      <c r="I25" s="13" t="n">
        <v>21</v>
      </c>
      <c r="J25" s="13" t="n">
        <v>37</v>
      </c>
      <c r="K25" s="13" t="n">
        <v>6</v>
      </c>
      <c r="L25" s="13" t="n">
        <v>28</v>
      </c>
      <c r="M25" s="13" t="n">
        <v>4</v>
      </c>
      <c r="N25" s="13" t="n">
        <v>408.31999993</v>
      </c>
      <c r="O25" s="13" t="n">
        <v>74.28</v>
      </c>
      <c r="P25" s="12" t="n">
        <f aca="false">AC26-AC25</f>
        <v>0</v>
      </c>
      <c r="Q25" s="12" t="n">
        <v>0</v>
      </c>
      <c r="R25" s="12" t="n">
        <v>0</v>
      </c>
      <c r="S25" s="12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2" t="n">
        <f aca="false">A25+1</f>
        <v>45682</v>
      </c>
      <c r="B26" s="13" t="n">
        <v>1312.87799954</v>
      </c>
      <c r="C26" s="13" t="n">
        <v>204.3299999</v>
      </c>
      <c r="D26" s="13" t="n">
        <v>41</v>
      </c>
      <c r="E26" s="13" t="n">
        <v>6</v>
      </c>
      <c r="F26" s="13" t="n">
        <v>92</v>
      </c>
      <c r="G26" s="13" t="n">
        <v>14</v>
      </c>
      <c r="H26" s="13" t="n">
        <v>140</v>
      </c>
      <c r="I26" s="13" t="n">
        <v>21</v>
      </c>
      <c r="J26" s="13" t="n">
        <v>37</v>
      </c>
      <c r="K26" s="13" t="n">
        <v>6</v>
      </c>
      <c r="L26" s="13" t="n">
        <v>28</v>
      </c>
      <c r="M26" s="13" t="n">
        <v>4</v>
      </c>
      <c r="N26" s="13" t="n">
        <v>455.15999996</v>
      </c>
      <c r="O26" s="13" t="n">
        <v>83.88</v>
      </c>
      <c r="P26" s="12" t="n">
        <f aca="false">AC27-AC26</f>
        <v>0</v>
      </c>
      <c r="Q26" s="12" t="n">
        <v>0</v>
      </c>
      <c r="R26" s="12" t="n">
        <v>0</v>
      </c>
      <c r="S26" s="12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2" t="n">
        <f aca="false">A26+1</f>
        <v>45683</v>
      </c>
      <c r="B27" s="13" t="n">
        <v>1278.18599952</v>
      </c>
      <c r="C27" s="13" t="n">
        <v>182.86799993</v>
      </c>
      <c r="D27" s="13" t="n">
        <v>41</v>
      </c>
      <c r="E27" s="13" t="n">
        <v>6</v>
      </c>
      <c r="F27" s="13" t="n">
        <v>92</v>
      </c>
      <c r="G27" s="13" t="n">
        <v>14</v>
      </c>
      <c r="H27" s="13" t="n">
        <v>140</v>
      </c>
      <c r="I27" s="13" t="n">
        <v>21</v>
      </c>
      <c r="J27" s="13" t="n">
        <v>37</v>
      </c>
      <c r="K27" s="13" t="n">
        <v>6</v>
      </c>
      <c r="L27" s="13" t="n">
        <v>28</v>
      </c>
      <c r="M27" s="13" t="n">
        <v>4</v>
      </c>
      <c r="N27" s="13" t="n">
        <v>446.31999994</v>
      </c>
      <c r="O27" s="13" t="n">
        <v>71.31999997</v>
      </c>
      <c r="P27" s="12" t="n">
        <f aca="false">AC28-AC27</f>
        <v>0</v>
      </c>
      <c r="Q27" s="12" t="n">
        <v>0</v>
      </c>
      <c r="R27" s="12" t="n">
        <v>0</v>
      </c>
      <c r="S27" s="12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2" t="n">
        <f aca="false">A27+1</f>
        <v>45684</v>
      </c>
      <c r="B28" s="13" t="n">
        <v>1709.27399944</v>
      </c>
      <c r="C28" s="13" t="n">
        <v>242.38199992</v>
      </c>
      <c r="D28" s="13" t="n">
        <v>41</v>
      </c>
      <c r="E28" s="13" t="n">
        <v>6</v>
      </c>
      <c r="F28" s="13" t="n">
        <v>92</v>
      </c>
      <c r="G28" s="13" t="n">
        <v>14</v>
      </c>
      <c r="H28" s="13" t="n">
        <v>140</v>
      </c>
      <c r="I28" s="13" t="n">
        <v>21</v>
      </c>
      <c r="J28" s="13" t="n">
        <v>37</v>
      </c>
      <c r="K28" s="13" t="n">
        <v>6</v>
      </c>
      <c r="L28" s="13" t="n">
        <v>28</v>
      </c>
      <c r="M28" s="13" t="n">
        <v>4</v>
      </c>
      <c r="N28" s="13" t="n">
        <v>299.51999994</v>
      </c>
      <c r="O28" s="13" t="n">
        <v>49.11999998</v>
      </c>
      <c r="P28" s="12" t="n">
        <f aca="false">AC29-AC28</f>
        <v>0</v>
      </c>
      <c r="Q28" s="12" t="n">
        <v>0</v>
      </c>
      <c r="R28" s="12" t="n">
        <v>0</v>
      </c>
      <c r="S28" s="12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2" t="n">
        <f aca="false">A28+1</f>
        <v>45685</v>
      </c>
      <c r="B29" s="13" t="n">
        <v>1987.4399995</v>
      </c>
      <c r="C29" s="13" t="n">
        <v>282.78599991</v>
      </c>
      <c r="D29" s="13" t="n">
        <v>41</v>
      </c>
      <c r="E29" s="13" t="n">
        <v>6</v>
      </c>
      <c r="F29" s="13" t="n">
        <v>92</v>
      </c>
      <c r="G29" s="13" t="n">
        <v>14</v>
      </c>
      <c r="H29" s="13" t="n">
        <v>140</v>
      </c>
      <c r="I29" s="13" t="n">
        <v>21</v>
      </c>
      <c r="J29" s="13" t="n">
        <v>37</v>
      </c>
      <c r="K29" s="13" t="n">
        <v>6</v>
      </c>
      <c r="L29" s="13" t="n">
        <v>28</v>
      </c>
      <c r="M29" s="13" t="n">
        <v>4</v>
      </c>
      <c r="N29" s="13" t="n">
        <v>359.11999994</v>
      </c>
      <c r="O29" s="13" t="n">
        <v>74.84</v>
      </c>
      <c r="P29" s="12" t="n">
        <f aca="false">AC30-AC29</f>
        <v>0</v>
      </c>
      <c r="Q29" s="12" t="n">
        <v>0</v>
      </c>
      <c r="R29" s="12" t="n">
        <v>0</v>
      </c>
      <c r="S29" s="12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2" t="n">
        <f aca="false">A29+1</f>
        <v>45686</v>
      </c>
      <c r="B30" s="13" t="n">
        <v>2195.42399955</v>
      </c>
      <c r="C30" s="13" t="n">
        <v>294.92399994</v>
      </c>
      <c r="D30" s="13" t="n">
        <v>41</v>
      </c>
      <c r="E30" s="13" t="n">
        <v>6</v>
      </c>
      <c r="F30" s="13" t="n">
        <v>92</v>
      </c>
      <c r="G30" s="13" t="n">
        <v>14</v>
      </c>
      <c r="H30" s="13" t="n">
        <v>140</v>
      </c>
      <c r="I30" s="13" t="n">
        <v>21</v>
      </c>
      <c r="J30" s="13" t="n">
        <v>37</v>
      </c>
      <c r="K30" s="13" t="n">
        <v>6</v>
      </c>
      <c r="L30" s="13" t="n">
        <v>28</v>
      </c>
      <c r="M30" s="13" t="n">
        <v>4</v>
      </c>
      <c r="N30" s="13" t="n">
        <v>387.27999996</v>
      </c>
      <c r="O30" s="13" t="n">
        <v>60.43999999</v>
      </c>
      <c r="P30" s="12" t="n">
        <f aca="false">AC31-AC30</f>
        <v>0</v>
      </c>
      <c r="Q30" s="12" t="n">
        <v>0</v>
      </c>
      <c r="R30" s="12" t="n">
        <v>0</v>
      </c>
      <c r="S30" s="12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2" t="n">
        <f aca="false">A30+1</f>
        <v>45687</v>
      </c>
      <c r="B31" s="13" t="n">
        <v>1419.43199945</v>
      </c>
      <c r="C31" s="13" t="n">
        <v>190.8059999</v>
      </c>
      <c r="D31" s="13" t="n">
        <v>41</v>
      </c>
      <c r="E31" s="13" t="n">
        <v>6</v>
      </c>
      <c r="F31" s="13" t="n">
        <v>92</v>
      </c>
      <c r="G31" s="13" t="n">
        <v>14</v>
      </c>
      <c r="H31" s="13" t="n">
        <v>140</v>
      </c>
      <c r="I31" s="13" t="n">
        <v>21</v>
      </c>
      <c r="J31" s="13" t="n">
        <v>37</v>
      </c>
      <c r="K31" s="13" t="n">
        <v>6</v>
      </c>
      <c r="L31" s="13" t="n">
        <v>28</v>
      </c>
      <c r="M31" s="13" t="n">
        <v>4</v>
      </c>
      <c r="N31" s="13" t="n">
        <v>327.75999994</v>
      </c>
      <c r="O31" s="13" t="n">
        <v>48.35999999</v>
      </c>
      <c r="P31" s="12" t="n">
        <f aca="false">AC32-AC31</f>
        <v>0</v>
      </c>
      <c r="Q31" s="12" t="n">
        <v>0</v>
      </c>
      <c r="R31" s="12" t="n">
        <v>0</v>
      </c>
      <c r="S31" s="12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A32" s="42" t="n">
        <f aca="false">A31+1</f>
        <v>45688</v>
      </c>
      <c r="B32" s="13" t="n">
        <v>1307.12399946</v>
      </c>
      <c r="C32" s="13" t="n">
        <v>175.0979999</v>
      </c>
      <c r="D32" s="13" t="n">
        <v>41</v>
      </c>
      <c r="E32" s="13" t="n">
        <v>6</v>
      </c>
      <c r="F32" s="13" t="n">
        <v>92</v>
      </c>
      <c r="G32" s="13" t="n">
        <v>14</v>
      </c>
      <c r="H32" s="13" t="n">
        <v>140</v>
      </c>
      <c r="I32" s="13" t="n">
        <v>21</v>
      </c>
      <c r="J32" s="13" t="n">
        <v>37</v>
      </c>
      <c r="K32" s="13" t="n">
        <v>6</v>
      </c>
      <c r="L32" s="13" t="n">
        <v>28</v>
      </c>
      <c r="M32" s="13" t="n">
        <v>4</v>
      </c>
      <c r="N32" s="13" t="n">
        <v>293.39999992</v>
      </c>
      <c r="O32" s="13" t="n">
        <v>54.35999998</v>
      </c>
      <c r="P32" s="12" t="n">
        <f aca="false">AC33-AC32</f>
        <v>0</v>
      </c>
      <c r="Q32" s="12" t="n">
        <v>0</v>
      </c>
      <c r="R32" s="12" t="n">
        <v>0</v>
      </c>
      <c r="S32" s="12" t="n">
        <f aca="false">AD33-AD32</f>
        <v>0</v>
      </c>
      <c r="T32" s="12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4.2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L33" s="57"/>
      <c r="M33" s="57"/>
      <c r="N33" s="57"/>
      <c r="O33" s="57"/>
      <c r="P33" s="57"/>
      <c r="Q33" s="57"/>
      <c r="R33" s="57"/>
      <c r="S33" s="57"/>
      <c r="U33" s="57"/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9.57"/>
  </cols>
  <sheetData>
    <row r="1" customFormat="false" ht="12.75" hidden="false" customHeight="false" outlineLevel="0" collapsed="false">
      <c r="A1" s="3" t="s">
        <v>41</v>
      </c>
      <c r="B1" s="3" t="s">
        <v>42</v>
      </c>
    </row>
    <row r="2" customFormat="false" ht="12.75" hidden="false" customHeight="false" outlineLevel="0" collapsed="false">
      <c r="A2" s="16" t="s">
        <v>103</v>
      </c>
      <c r="B2" s="17" t="n">
        <v>0</v>
      </c>
    </row>
    <row r="3" customFormat="false" ht="12.75" hidden="false" customHeight="false" outlineLevel="0" collapsed="false">
      <c r="A3" s="16" t="s">
        <v>104</v>
      </c>
      <c r="B3" s="17" t="n">
        <v>1.885</v>
      </c>
    </row>
    <row r="4" customFormat="false" ht="12.75" hidden="false" customHeight="false" outlineLevel="0" collapsed="false">
      <c r="A4" s="16" t="s">
        <v>43</v>
      </c>
      <c r="B4" s="17" t="n">
        <v>4.463</v>
      </c>
    </row>
    <row r="5" customFormat="false" ht="12.75" hidden="false" customHeight="false" outlineLevel="0" collapsed="false">
      <c r="A5" s="16" t="s">
        <v>44</v>
      </c>
      <c r="B5" s="17" t="n">
        <v>7.877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2025-11-19T15:26:58Z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